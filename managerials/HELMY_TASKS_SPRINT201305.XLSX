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3" firstSheet="0" showHorizontalScroll="true" showSheetTabs="true" showVerticalScroll="true" tabRatio="600" windowHeight="8192" windowWidth="16384" xWindow="0" yWindow="0"/>
  </bookViews>
  <sheets>
    <sheet name="Tasks" sheetId="1" state="visible" r:id="rId2"/>
    <sheet name="Self Storage" sheetId="2" state="visible" r:id="rId3"/>
    <sheet name="Oracle Bugs" sheetId="3" state="hidden" r:id="rId4"/>
    <sheet name="Attendance" sheetId="4" state="visible" r:id="rId5"/>
    <sheet name="Commnents" sheetId="5" state="visible" r:id="rId6"/>
  </sheets>
  <definedNames>
    <definedName function="false" hidden="false" name="VSTS_ValidationRange_004e64cdb71f4d97a852e32a93714ba7" vbProcedure="false">{#name?}</definedName>
    <definedName function="false" hidden="false" name="VSTS_ValidationRange_03df38c8e2a14bebb66d08e2ffd26275" vbProcedure="false">{#name?}</definedName>
    <definedName function="false" hidden="false" name="VSTS_ValidationRange_04def8f48f8d4d4bbb1f7b877e8ffced" vbProcedure="false">{#name?}</definedName>
    <definedName function="false" hidden="false" name="VSTS_ValidationRange_3c2a522df82349c9a68e8103a36fcd86" vbProcedure="false">{#name?}</definedName>
    <definedName function="false" hidden="false" name="VSTS_ValidationRange_44741d8c43f04fad9383a428c1b3ea94" vbProcedure="false">{#name?}</definedName>
    <definedName function="false" hidden="false" name="VSTS_ValidationRange_4dacac9aa9024c62b065c18e4f414d16" vbProcedure="false">{#name?}</definedName>
    <definedName function="false" hidden="false" name="VSTS_ValidationRange_65fdc4f9e20f4e47ac5f32a3c3a6b1c2" vbProcedure="false">{#name?}</definedName>
    <definedName function="false" hidden="false" name="VSTS_ValidationRange_66cf684229c244fa931a598729adc7a8" vbProcedure="false">{#name?}</definedName>
    <definedName function="false" hidden="false" name="VSTS_ValidationRange_6e115ac28f9040f2bfbba8055b723675" vbProcedure="false">{#name?}</definedName>
    <definedName function="false" hidden="false" name="VSTS_ValidationRange_bf89407a701c495193f8ea8b443e25a1" vbProcedure="false">{#name?}</definedName>
    <definedName function="false" hidden="false" name="VSTS_ValidationRange_f400ff84b8354d26aa4147d3197c787d" vbProcedure="false">{#name?}</definedName>
    <definedName function="false" hidden="false" localSheetId="1" name="_xlnm._FilterDatabase" vbProcedure="false">'Self Storage'!$A$1:$D$38</definedName>
    <definedName function="false" hidden="false" localSheetId="1" name="_xlnm._FilterDatabase_0" vbProcedure="false">#ref!!$A$1:$D$38</definedName>
    <definedName function="false" hidden="false" localSheetId="2" name="_xlnm._FilterDatabase" vbProcedure="false">'oracle bugs'!#ref!</definedName>
  </definedNames>
  <calcPr iterateCount="100" refMode="A1" iterate="false" iterateDelta="0.0001"/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authorId="0" ref="B15">
      <text>
        <r>
          <rPr>
            <rFont val="Tahoma"/>
            <charset val="1"/>
            <family val="2"/>
            <color rgb="FF000000"/>
            <sz val="8"/>
          </rPr>
          <t xml:space="preserve">
These Houres already will be deducted from salary by HR Dep.</t>
        </r>
      </text>
    </comment>
  </commentList>
</comments>
</file>

<file path=xl/sharedStrings.xml><?xml version="1.0" encoding="utf-8"?>
<sst xmlns="http://schemas.openxmlformats.org/spreadsheetml/2006/main" count="413" uniqueCount="168">
  <si>
    <t>Ahmed Helmy's Activities During Sprint 201305</t>
  </si>
  <si>
    <t>Task</t>
  </si>
  <si>
    <t>Time</t>
  </si>
  <si>
    <t>Comment</t>
  </si>
  <si>
    <t>Ref</t>
  </si>
  <si>
    <t>Items List</t>
  </si>
  <si>
    <t>Self Storage</t>
  </si>
  <si>
    <t>Total</t>
  </si>
  <si>
    <t>* Only Enter Data in Yellow Fields below:</t>
  </si>
  <si>
    <r>
      <t xml:space="preserve">Sprint Working Days</t>
    </r>
    <r>
      <rPr>
        <rFont val="Calibri"/>
        <charset val="1"/>
        <family val="2"/>
        <color rgb="FFFFFFFF"/>
        <sz val="8"/>
      </rPr>
      <t xml:space="preserve"> </t>
    </r>
    <r>
      <rPr>
        <rFont val="Calibri"/>
        <charset val="1"/>
        <family val="2"/>
        <color rgb="FFFFFFFF"/>
        <sz val="11"/>
      </rPr>
      <t xml:space="preserve">:</t>
    </r>
  </si>
  <si>
    <t>Days</t>
  </si>
  <si>
    <t>Sprint Start</t>
  </si>
  <si>
    <t>Sprint End</t>
  </si>
  <si>
    <t>Overtime Date</t>
  </si>
  <si>
    <t>Day Name</t>
  </si>
  <si>
    <t>Houres</t>
  </si>
  <si>
    <t>Notes</t>
  </si>
  <si>
    <r>
      <t xml:space="preserve">Sprint Working Hours </t>
    </r>
    <r>
      <rPr>
        <rFont val="Calibri"/>
        <charset val="1"/>
        <family val="2"/>
        <color rgb="FFFF0000"/>
        <sz val="11"/>
      </rPr>
      <t xml:space="preserve"> </t>
    </r>
    <r>
      <rPr>
        <rFont val="Calibri"/>
        <charset val="1"/>
        <family val="2"/>
        <color rgb="FFFF0000"/>
        <sz val="8"/>
      </rPr>
      <t xml:space="preserve">(Calculated as Work Day=7.5 Houres)</t>
    </r>
    <r>
      <rPr>
        <rFont val="Calibri"/>
        <charset val="1"/>
        <family val="2"/>
        <color rgb="FFFFFFFF"/>
        <sz val="8"/>
      </rPr>
      <t xml:space="preserve"> </t>
    </r>
    <r>
      <rPr>
        <rFont val="Calibri"/>
        <charset val="1"/>
        <family val="2"/>
        <color rgb="FFFFFFFF"/>
        <sz val="11"/>
      </rPr>
      <t xml:space="preserve">:</t>
    </r>
  </si>
  <si>
    <t>Hours</t>
  </si>
  <si>
    <r>
      <t xml:space="preserve">OverTime Hours </t>
    </r>
    <r>
      <rPr>
        <rFont val="Calibri"/>
        <charset val="1"/>
        <family val="2"/>
        <color rgb="FFFF0000"/>
        <sz val="11"/>
      </rPr>
      <t xml:space="preserve">(calculated)</t>
    </r>
    <r>
      <rPr>
        <rFont val="Calibri"/>
        <charset val="1"/>
        <family val="2"/>
        <color rgb="FFFFFFFF"/>
        <sz val="11"/>
      </rPr>
      <t xml:space="preserve"> :</t>
    </r>
  </si>
  <si>
    <t>Vacation Days</t>
  </si>
  <si>
    <t>Permissions Hours</t>
  </si>
  <si>
    <t>Missed Time from Attendance</t>
  </si>
  <si>
    <r>
      <t xml:space="preserve">My Total Attendence </t>
    </r>
    <r>
      <rPr>
        <rFont val="Calibri"/>
        <charset val="1"/>
        <family val="2"/>
        <color rgb="FFFF0000"/>
        <sz val="11"/>
      </rPr>
      <t xml:space="preserve">(calculated)</t>
    </r>
    <r>
      <rPr>
        <rFont val="Calibri"/>
        <charset val="1"/>
        <family val="2"/>
        <b val="true"/>
        <color rgb="FFFFFFFF"/>
        <sz val="14"/>
      </rPr>
      <t xml:space="preserve"> :</t>
    </r>
  </si>
  <si>
    <r>
      <t xml:space="preserve">Personal Evaluation (</t>
    </r>
    <r>
      <rPr>
        <rFont val="Calibri"/>
        <charset val="1"/>
        <family val="2"/>
        <b val="true"/>
        <color rgb="FFFFFFFF"/>
        <sz val="9"/>
      </rPr>
      <t xml:space="preserve">From 20</t>
    </r>
    <r>
      <rPr>
        <rFont val="Calibri"/>
        <charset val="1"/>
        <family val="2"/>
        <b val="true"/>
        <color rgb="FFFFFFFF"/>
        <sz val="11"/>
      </rPr>
      <t xml:space="preserve">)</t>
    </r>
  </si>
  <si>
    <r>
      <t xml:space="preserve">Work Items Evaluation </t>
    </r>
    <r>
      <rPr>
        <rFont val="Calibri"/>
        <charset val="1"/>
        <family val="2"/>
        <color rgb="FFFF0000"/>
        <sz val="8"/>
      </rPr>
      <t xml:space="preserve">(Calculated)</t>
    </r>
  </si>
  <si>
    <t>Final Evaluation</t>
  </si>
  <si>
    <t>Total Overtime</t>
  </si>
  <si>
    <t>ID</t>
  </si>
  <si>
    <t>Title</t>
  </si>
  <si>
    <t>Effort</t>
  </si>
  <si>
    <t>Iteration Path</t>
  </si>
  <si>
    <t>28117</t>
  </si>
  <si>
    <t>manage tasks of previous sprint on TFS</t>
  </si>
  <si>
    <t>PHPWorks\2013\05</t>
  </si>
  <si>
    <t>Ahmed Helmy</t>
  </si>
  <si>
    <t>28121</t>
  </si>
  <si>
    <t>Reading Document Self storage project requrement document version 6</t>
  </si>
  <si>
    <t>28124</t>
  </si>
  <si>
    <t>search for report tool for php or symfony</t>
  </si>
  <si>
    <t>28137</t>
  </si>
  <si>
    <t>search for mysql query that get colums and puth them as rows</t>
  </si>
  <si>
    <t>28139</t>
  </si>
  <si>
    <t>"On delete cascade" problem</t>
  </si>
  <si>
    <t>28141</t>
  </si>
  <si>
    <t>create customers controller and entity and tiwg files</t>
  </si>
  <si>
    <t>27974</t>
  </si>
  <si>
    <t>install intl extension on my own PC that is used by symfony</t>
  </si>
  <si>
    <t>27975</t>
  </si>
  <si>
    <t>install intl extension on the testing server that is used by symfony</t>
  </si>
  <si>
    <t>27983</t>
  </si>
  <si>
    <t>discuss wafaa in bugs of version 1 and delivering version 2</t>
  </si>
  <si>
    <t>28116</t>
  </si>
  <si>
    <t>meetings with eng shaban about estimation</t>
  </si>
  <si>
    <t>28132</t>
  </si>
  <si>
    <t>meeting with islam to discuss Reports in dotnet</t>
  </si>
  <si>
    <t>28133</t>
  </si>
  <si>
    <t>28134</t>
  </si>
  <si>
    <t>meeting with islam to discuss dev express Reports</t>
  </si>
  <si>
    <t>28135</t>
  </si>
  <si>
    <t>supporting ahmed ali in Rental Period module</t>
  </si>
  <si>
    <t>27967</t>
  </si>
  <si>
    <t>Meeting: Explaining the Self storage project business- by karim</t>
  </si>
  <si>
    <t>27968</t>
  </si>
  <si>
    <t>Meeting: Explaining the Self storage project business- by wafaa</t>
  </si>
  <si>
    <t>27969</t>
  </si>
  <si>
    <t>Meeting: put estimations for pages</t>
  </si>
  <si>
    <t>27970</t>
  </si>
  <si>
    <t>Meeting with karim about how to split work in Agreement page between them</t>
  </si>
  <si>
    <t>27971</t>
  </si>
  <si>
    <t>Deliver a version to test team (v1)</t>
  </si>
  <si>
    <t>27972</t>
  </si>
  <si>
    <t>Deliver a version to testing team (v 2)</t>
  </si>
  <si>
    <t>27980</t>
  </si>
  <si>
    <t>Help ahmed ali in rental period page- prevent delete used periods and on delete cascade null price periods</t>
  </si>
  <si>
    <t>27982</t>
  </si>
  <si>
    <t>Help ahmed ali in rental period page- validation in periods</t>
  </si>
  <si>
    <t>26522</t>
  </si>
  <si>
    <t>Connection to Oracle from symfony and handing its problems</t>
  </si>
  <si>
    <t>26544</t>
  </si>
  <si>
    <t>Manage user privileges and configure remote access to PHP team server</t>
  </si>
  <si>
    <t>26545</t>
  </si>
  <si>
    <t>help Ahmed Ali in setting up mail client</t>
  </si>
  <si>
    <t>26550</t>
  </si>
  <si>
    <t>26552</t>
  </si>
  <si>
    <t>discuss with Karim the DB structure of self storage project</t>
  </si>
  <si>
    <t>Project: OracleSuite    Server: teamserver\DatabaseApplications    Query: [None]    List type: Flat</t>
  </si>
  <si>
    <t>Work Item Type</t>
  </si>
  <si>
    <t>Assigned To</t>
  </si>
  <si>
    <t>State</t>
  </si>
  <si>
    <t>Created By</t>
  </si>
  <si>
    <t>Bug</t>
  </si>
  <si>
    <t>مشكلة بتقرير متسوط سعر البيع بتقارير سندات الصرف</t>
  </si>
  <si>
    <t>hazem</t>
  </si>
  <si>
    <t>Done</t>
  </si>
  <si>
    <t>Tamer Tawfik</t>
  </si>
  <si>
    <t>تقرير حالة المخزون : عند اختيار منتج نهائى : واستدعاء التقرير فان اسم  التقرير يظهر حالة المخزون للاصناف المخزنيه</t>
  </si>
  <si>
    <t>ahmed samier</t>
  </si>
  <si>
    <t>تقرير متابعة الانتاج : زرار التصدير الى الاكسل غير مفعل</t>
  </si>
  <si>
    <t>تقرير متابعة اوامر التشغيل وسندات الصرف : زرار التصدير الى الاكسل غير موجود</t>
  </si>
  <si>
    <t>تقرير اوامر التشغيل : النسخه الانجليزيه : مطلوب خذف زرار اوك الموجود داخل التقرير</t>
  </si>
  <si>
    <t>تقرير اوامر التشغيل : تغيير لون الهيدر الخاص بالتقرير لان البيانات الخاصه برؤوس  الاعمده</t>
  </si>
  <si>
    <t>تقرير اوامر التشغيل : النسخه الانجليزيه : زرار التصدير الى الاكسل غير موجود</t>
  </si>
  <si>
    <t>مشكلة فى فاتورة المبيعات الخاصة بنقاط البيع</t>
  </si>
  <si>
    <t>مشكلة فى شاشة المساهمين</t>
  </si>
  <si>
    <t>مشكلة بشاشة الوظائف</t>
  </si>
  <si>
    <t>مشكلة بشاشة العائلات</t>
  </si>
  <si>
    <t>كراش فى شاشة اضافة اسمهم</t>
  </si>
  <si>
    <t>مشكلة بشاشة نقاط البيع</t>
  </si>
  <si>
    <t>تقرير  اوامر التشغيل التى لم  يصدر لها  فواتير  مبيعات : زرار التصدير الى الاكسل غير فعال</t>
  </si>
  <si>
    <t>تقرير  اوامر التشغيل التى لم  يصدر لها  فواتير  مبيعات : تغيير اللون الخاص بهيدر التقرير لان البيانات غير واضحه</t>
  </si>
  <si>
    <t>مشكلة بشاشة تحويل اسهم</t>
  </si>
  <si>
    <t>مشكلة بتقرير تفاصيل المشتريات</t>
  </si>
  <si>
    <t>في النسخة الانجليزية ... تقارير المبيعات - التصنيف الرئيسى مكتوب بالعربي كما هو موضح في الصورة المرفقة</t>
  </si>
  <si>
    <t>walied tantawy</t>
  </si>
  <si>
    <t>مشكلة بتقرير طباعة الشيكات</t>
  </si>
  <si>
    <t>تقارير اوامر الشراء : جميع انواعها : زرار التصدير الى الاكسل غير مفعل</t>
  </si>
  <si>
    <t>تقرير سندات الصرف : جميع انواعها : زرار التصدير الى الاكسل  غير مفعل</t>
  </si>
  <si>
    <t>تقارير مرتجع الصرف : جميع التقارير : عند استدعاء اى تقرير نجد زرار التصدير الى الاكسل غير مفعل</t>
  </si>
  <si>
    <t>تقارير الاهلاكات  : عند فتح اى تقرير نجد زرار التصدير الى الاكسل غير مفعل</t>
  </si>
  <si>
    <t>تقارير التحويلات  : عند فتح اى تقرير نجد زرار التصدير الى الاكسل غير مفعل</t>
  </si>
  <si>
    <t>تقاري المخازن:  النسخه اعربى عند فتح تقارير مخازم يوجد تقرير يظهر اسمه بشكل غيرب</t>
  </si>
  <si>
    <t>تقارير صرف هدايا : عنند فتح اى تقرير نجد زرار التصدير الى الاكسل غير مفعل</t>
  </si>
  <si>
    <t>تقرير سندات الصرف - تقرير المبيعات مجمع حسب المستخدم</t>
  </si>
  <si>
    <t>تقارير سندات الصرف - تقرير فئات العملاء شهريا - قيمة</t>
  </si>
  <si>
    <t>تقارير مرتجع صرف - تقرير مجمع حسب المشروع فءة الاصناف الثانية</t>
  </si>
  <si>
    <t>طلب صرف : عند عمل سند جديد وادخال الصنف والعميل ثم الحفظ تظهر رساله</t>
  </si>
  <si>
    <t>سند صرف : عند عمل سند جديد وادخال الصنف والعميل ثم الحفظ تظهر رساله</t>
  </si>
  <si>
    <t>مرتجع صرف : عند عمل سند جديد وادخال الصنف والعميل ثم الحفظ تظهر رساله</t>
  </si>
  <si>
    <t>سند صرف هدايا وعينات : عند عمل سند جديد وادخال الصنف والعميل ثم الحفظ تظهر رساله</t>
  </si>
  <si>
    <t>سند اهلاك : عند عمل سند جديد وادخال الصنف والعميل ثم الحفظ تظهر رساله</t>
  </si>
  <si>
    <t>سند صرف : النسخه الانجليزيه : عند عمل معاينه قبل او طباعه يطبع عربى</t>
  </si>
  <si>
    <t>مرتجع صرف: النسخه الانجليزيه : عند عمل معاينه قبل او طباعه يطبع عربى</t>
  </si>
  <si>
    <t>سند صرف هدايا وعينات : النسخه الانجليزيه:  عند عمل معاينه قبل او طباعه يطبع عربى</t>
  </si>
  <si>
    <t>سند اهلاك : النسخه الانجليزيه :  عند عمل معاينه قبل او طباعه يطبع عربى</t>
  </si>
  <si>
    <t>مشكلة بتقرير متسوط سعر البيع بتقاريرالمبيعات</t>
  </si>
  <si>
    <t>أحمد حلمى</t>
  </si>
  <si>
    <t>رقم البصمه</t>
  </si>
  <si>
    <t>الإسم</t>
  </si>
  <si>
    <t>التاريخ</t>
  </si>
  <si>
    <t>الحضور الفعلي</t>
  </si>
  <si>
    <t>الإنصراف الفعلي</t>
  </si>
  <si>
    <t>25/04/2013</t>
  </si>
  <si>
    <t>26/04/2013</t>
  </si>
  <si>
    <t>27/04/2013</t>
  </si>
  <si>
    <t>28/04/2013</t>
  </si>
  <si>
    <t>29/04/2013</t>
  </si>
  <si>
    <t>30/04/2013</t>
  </si>
  <si>
    <t>عمل من البيت</t>
  </si>
  <si>
    <t>بدون تسجيل – الحضور 9:14</t>
  </si>
  <si>
    <t>تأخير اضطراري- مأمورية</t>
  </si>
  <si>
    <t>إجازة</t>
  </si>
  <si>
    <t>13/05/2013</t>
  </si>
  <si>
    <t>14/05/2013</t>
  </si>
  <si>
    <t>بدون تسجيل – الحضور 10:00</t>
  </si>
  <si>
    <t>15/05/2013</t>
  </si>
  <si>
    <t>16/05/2013</t>
  </si>
  <si>
    <t>إذن ساعتين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</si>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</sst>
</file>

<file path=xl/styles.xml><?xml version="1.0" encoding="utf-8"?>
<styleSheet xmlns="http://schemas.openxmlformats.org/spreadsheetml/2006/main">
  <numFmts count="4">
    <numFmt formatCode="GENERAL" numFmtId="164"/>
    <numFmt formatCode="M/D/YYYY" numFmtId="165"/>
    <numFmt formatCode="D\-MMM" numFmtId="166"/>
    <numFmt formatCode="H:MM:SS" numFmtId="167"/>
  </numFmts>
  <fonts count="2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??"/>
      <charset val="178"/>
      <family val="0"/>
      <color rgb="FF000000"/>
      <sz val="10"/>
    </font>
    <font>
      <name val="Calibri"/>
      <charset val="1"/>
      <family val="2"/>
      <b val="true"/>
      <color rgb="FFFFFFFF"/>
      <sz val="18"/>
    </font>
    <font>
      <name val="Calibri"/>
      <charset val="1"/>
      <family val="2"/>
      <b val="true"/>
      <color rgb="FFFFFFFF"/>
      <sz val="11"/>
    </font>
    <font>
      <name val="Calibri"/>
      <charset val="1"/>
      <family val="2"/>
      <b val="true"/>
      <color rgb="FF000000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color rgb="FF0000FF"/>
      <sz val="11"/>
      <u val="single"/>
    </font>
    <font>
      <name val="Calibri"/>
      <charset val="1"/>
      <family val="2"/>
      <b val="true"/>
      <color rgb="FFFFFF00"/>
      <sz val="12"/>
      <u val="single"/>
    </font>
    <font>
      <name val="Calibri"/>
      <charset val="1"/>
      <family val="2"/>
      <color rgb="FFFFFFFF"/>
      <sz val="11"/>
    </font>
    <font>
      <name val="Calibri"/>
      <charset val="1"/>
      <family val="2"/>
      <color rgb="FFFFFFFF"/>
      <sz val="8"/>
    </font>
    <font>
      <name val="Calibri"/>
      <charset val="1"/>
      <family val="2"/>
      <color rgb="FFFF0000"/>
      <sz val="11"/>
    </font>
    <font>
      <name val="Calibri"/>
      <charset val="1"/>
      <family val="2"/>
      <b val="true"/>
      <color rgb="FFFFFFFF"/>
      <sz val="9"/>
    </font>
    <font>
      <name val="Calibri"/>
      <charset val="1"/>
      <family val="2"/>
      <b val="true"/>
      <color rgb="FFFFFFFF"/>
      <sz val="10"/>
    </font>
    <font>
      <name val="Calibri"/>
      <charset val="1"/>
      <family val="2"/>
      <color rgb="FFFF0000"/>
      <sz val="8"/>
    </font>
    <font>
      <name val="Calibri"/>
      <charset val="1"/>
      <family val="2"/>
      <b val="true"/>
      <sz val="11"/>
    </font>
    <font>
      <name val="Calibri"/>
      <charset val="1"/>
      <family val="2"/>
      <b val="true"/>
      <color rgb="FFFF0000"/>
      <sz val="11"/>
    </font>
    <font>
      <name val="Calibri"/>
      <charset val="1"/>
      <family val="2"/>
      <color rgb="FF00B0F0"/>
      <sz val="11"/>
      <u val="single"/>
    </font>
    <font>
      <name val="Calibri"/>
      <charset val="1"/>
      <family val="2"/>
      <b val="true"/>
      <color rgb="FFFFFFFF"/>
      <sz val="14"/>
    </font>
    <font>
      <name val="Calibri"/>
      <charset val="1"/>
      <family val="2"/>
      <b val="true"/>
      <color rgb="FFFF0000"/>
      <sz val="16"/>
    </font>
    <font>
      <name val="Calibri"/>
      <charset val="1"/>
      <family val="2"/>
      <color rgb="FFFFFFFF"/>
      <sz val="14"/>
    </font>
    <font>
      <name val="Calibri"/>
      <charset val="1"/>
      <family val="2"/>
      <b val="true"/>
      <color rgb="FFFF0000"/>
      <sz val="14"/>
    </font>
    <font>
      <name val="Calibri"/>
      <charset val="1"/>
      <family val="2"/>
      <color rgb="FF000000"/>
      <sz val="9"/>
    </font>
    <font>
      <name val="Calibri"/>
      <charset val="1"/>
      <family val="2"/>
      <b val="true"/>
      <color rgb="FF000000"/>
      <sz val="12"/>
    </font>
    <font>
      <name val="Tahoma"/>
      <charset val="1"/>
      <family val="2"/>
      <color rgb="FF000000"/>
      <sz val="8"/>
    </font>
    <font>
      <name val="Calibri"/>
      <charset val="1"/>
      <family val="2"/>
      <b val="true"/>
      <color rgb="FF000000"/>
      <sz val="10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558ED5"/>
        <bgColor rgb="FF3366FF"/>
      </patternFill>
    </fill>
    <fill>
      <patternFill patternType="solid">
        <fgColor rgb="FFE46C0A"/>
        <bgColor rgb="FFFF9900"/>
      </patternFill>
    </fill>
    <fill>
      <patternFill patternType="solid">
        <fgColor rgb="FF376092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C0C0C0"/>
      </patternFill>
    </fill>
    <fill>
      <patternFill patternType="solid">
        <fgColor rgb="FFC4BD97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8EB4E3"/>
        <bgColor rgb="FF9999FF"/>
      </patternFill>
    </fill>
    <fill>
      <patternFill patternType="solid">
        <fgColor rgb="FFC0C0C0"/>
        <bgColor rgb="FFC4BD97"/>
      </patternFill>
    </fill>
  </fills>
  <borders count="7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  <border diagonalDown="false" diagonalUp="false">
      <left style="thick"/>
      <right/>
      <top style="thick"/>
      <bottom style="thick"/>
      <diagonal/>
    </border>
    <border diagonalDown="false" diagonalUp="false">
      <left style="thick"/>
      <right style="thick"/>
      <top style="thick"/>
      <bottom/>
      <diagonal/>
    </border>
    <border diagonalDown="false" diagonalUp="false">
      <left style="thick"/>
      <right style="thick"/>
      <top/>
      <bottom style="thick"/>
      <diagonal/>
    </border>
    <border diagonalDown="false" diagonalUp="false">
      <left style="thick">
        <color rgb="FF3C3C3C"/>
      </left>
      <right style="thick">
        <color rgb="FF3C3C3C"/>
      </right>
      <top style="thick">
        <color rgb="FF3C3C3C"/>
      </top>
      <bottom style="thick">
        <color rgb="FF3C3C3C"/>
      </bottom>
      <diagonal/>
    </border>
    <border diagonalDown="false" diagonalUp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</borders>
  <cellStyleXfs count="22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2" fontId="4" numFmtId="164">
      <alignment horizontal="left" indent="0" shrinkToFit="false" textRotation="0" vertical="top" wrapText="false"/>
      <protection hidden="false" locked="true"/>
    </xf>
    <xf applyAlignment="true" applyBorder="true" applyFont="true" applyProtection="true" borderId="0" fillId="2" fontId="27" numFmtId="164">
      <alignment horizontal="center" indent="0" shrinkToFit="false" textRotation="0" vertical="center" wrapText="false"/>
      <protection hidden="false" locked="true"/>
    </xf>
  </cellStyleXfs>
  <cellXfs count="89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  <protection hidden="false" locked="true"/>
    </xf>
    <xf applyAlignment="true" applyBorder="false" applyFont="false" applyProtection="false" borderId="0" fillId="0" fontId="0" numFmtId="164" xfId="0">
      <alignment horizontal="general" indent="0" shrinkToFit="false" textRotation="0" vertical="bottom" wrapText="tru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0" fillId="3" fontId="5" numFmtId="164" xfId="0">
      <alignment horizontal="center" indent="0" shrinkToFit="false" textRotation="0" vertical="center" wrapText="true"/>
      <protection hidden="false" locked="true"/>
    </xf>
    <xf applyAlignment="false" applyBorder="false" applyFont="false" applyProtection="false" borderId="0" fillId="3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3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3" fontId="6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2" fillId="3" fontId="6" numFmtId="164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0" fontId="6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0" numFmtId="164" xfId="0">
      <alignment horizontal="left" indent="0" shrinkToFit="false" textRotation="0" vertical="center" wrapText="true"/>
      <protection hidden="false" locked="true"/>
    </xf>
    <xf applyAlignment="false" applyBorder="true" applyFont="false" applyProtection="fals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8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" fillId="0" fontId="9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2" fontId="0" numFmtId="164" xfId="0">
      <alignment horizontal="left" indent="0" shrinkToFit="false" textRotation="0" vertical="center" wrapText="tru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2" fontId="8" numFmtId="164" xfId="0">
      <alignment horizontal="left" indent="0" shrinkToFit="false" textRotation="0" vertical="top" wrapText="true"/>
      <protection hidden="false" locked="true"/>
    </xf>
    <xf applyAlignment="true" applyBorder="true" applyFont="true" applyProtection="true" borderId="1" fillId="0" fontId="9" numFmtId="164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0" fontId="7" numFmtId="164" xfId="0">
      <alignment horizontal="right" indent="0" shrinkToFit="false" textRotation="0" vertical="bottom" wrapText="true"/>
      <protection hidden="false" locked="true"/>
    </xf>
    <xf applyAlignment="true" applyBorder="false" applyFont="true" applyProtection="false" borderId="0" fillId="0" fontId="7" numFmtId="164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4" fontId="0" numFmtId="164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4" fontId="10" numFmtId="164" xfId="0">
      <alignment horizontal="general" indent="0" shrinkToFit="false" textRotation="0" vertical="center" wrapText="true"/>
      <protection hidden="false" locked="true"/>
    </xf>
    <xf applyAlignment="false" applyBorder="false" applyFont="false" applyProtection="false" borderId="0" fillId="4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4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0" fillId="5" fontId="11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1" fillId="6" fontId="13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5" fontId="11" numFmtId="164" xfId="0">
      <alignment horizontal="left" indent="0" shrinkToFit="false" textRotation="0" vertical="center" wrapText="false"/>
      <protection hidden="false" locked="true"/>
    </xf>
    <xf applyAlignment="false" applyBorder="true" applyFont="true" applyProtection="false" borderId="1" fillId="5" fontId="14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" fillId="5" fontId="1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5" fontId="15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5" fontId="15" numFmtId="164" xfId="0">
      <alignment horizontal="center" indent="0" shrinkToFit="false" textRotation="0" vertical="bottom" wrapText="false"/>
      <protection hidden="false" locked="true"/>
    </xf>
    <xf applyAlignment="false" applyBorder="true" applyFont="true" applyProtection="false" borderId="0" fillId="5" fontId="11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5" fontId="11" numFmtId="164" xfId="0">
      <alignment horizontal="center" indent="0" shrinkToFit="false" textRotation="0" vertical="bottom" wrapText="false"/>
      <protection hidden="false" locked="true"/>
    </xf>
    <xf applyAlignment="false" applyBorder="true" applyFont="true" applyProtection="false" borderId="1" fillId="6" fontId="0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6" fontId="0" numFmtId="164" xfId="0">
      <alignment horizontal="center" indent="0" shrinkToFit="false" textRotation="0" vertical="bottom" wrapText="false"/>
      <protection hidden="false" locked="true"/>
    </xf>
    <xf applyAlignment="false" applyBorder="true" applyFont="true" applyProtection="false" borderId="1" fillId="0" fontId="1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2" fontId="11" numFmtId="164" xfId="0">
      <alignment horizontal="right" indent="0" shrinkToFit="false" textRotation="0" vertical="bottom" wrapText="true"/>
      <protection hidden="false" locked="true"/>
    </xf>
    <xf applyAlignment="false" applyBorder="true" applyFont="true" applyProtection="false" borderId="0" fillId="2" fontId="11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2" fontId="11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2" fontId="11" numFmtId="164" xfId="0">
      <alignment horizontal="left" indent="0" shrinkToFit="false" textRotation="0" vertical="center" wrapText="false"/>
      <protection hidden="false" locked="true"/>
    </xf>
    <xf applyAlignment="true" applyBorder="true" applyFont="true" applyProtection="false" borderId="3" fillId="7" fontId="7" numFmtId="164" xfId="0">
      <alignment horizontal="center" indent="0" shrinkToFit="false" textRotation="0" vertical="bottom" wrapText="false"/>
      <protection hidden="false" locked="true"/>
    </xf>
    <xf applyAlignment="true" applyBorder="true" applyFont="false" applyProtection="false" borderId="2" fillId="6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5" fontId="18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8" fontId="7" numFmtId="166" xfId="0">
      <alignment horizontal="center" indent="0" shrinkToFit="false" textRotation="0" vertical="bottom" wrapText="false"/>
      <protection hidden="false" locked="true"/>
    </xf>
    <xf applyAlignment="true" applyBorder="true" applyFont="false" applyProtection="false" borderId="1" fillId="0" fontId="0" numFmtId="165" xfId="0">
      <alignment horizontal="left" indent="0" shrinkToFit="false" textRotation="0" vertical="bottom" wrapText="false"/>
      <protection hidden="false" locked="true"/>
    </xf>
    <xf applyAlignment="false" applyBorder="true" applyFont="false" applyProtection="false" borderId="2" fillId="6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6" fontId="18" numFmtId="164" xfId="0">
      <alignment horizontal="center" indent="0" shrinkToFit="false" textRotation="0" vertical="bottom" wrapText="false"/>
      <protection hidden="false" locked="true"/>
    </xf>
    <xf applyAlignment="true" applyBorder="true" applyFont="false" applyProtection="false" borderId="4" fillId="8" fontId="0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7" fontId="7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5" fontId="19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4" fillId="7" fontId="0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0" fillId="5" fontId="20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1" fillId="5" fontId="21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5" fontId="22" numFmtId="164" xfId="0">
      <alignment horizontal="left" indent="0" shrinkToFit="false" textRotation="0" vertical="center" wrapText="false"/>
      <protection hidden="false" locked="true"/>
    </xf>
    <xf applyAlignment="true" applyBorder="true" applyFont="true" applyProtection="false" borderId="1" fillId="8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5" fontId="6" numFmtId="164" xfId="0">
      <alignment horizontal="right" indent="0" shrinkToFit="false" textRotation="0" vertical="bottom" wrapText="true"/>
      <protection hidden="false" locked="true"/>
    </xf>
    <xf applyAlignment="false" applyBorder="true" applyFont="true" applyProtection="false" borderId="1" fillId="5" fontId="11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7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5" fontId="6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1" fillId="9" fontId="20" numFmtId="164" xfId="0">
      <alignment horizontal="right" indent="0" shrinkToFit="false" textRotation="0" vertical="bottom" wrapText="true"/>
      <protection hidden="false" locked="true"/>
    </xf>
    <xf applyAlignment="false" applyBorder="true" applyFont="true" applyProtection="false" borderId="1" fillId="9" fontId="11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9" fontId="20" numFmtId="164" xfId="0">
      <alignment horizontal="center" indent="0" shrinkToFit="false" textRotation="0" vertical="bottom" wrapText="false"/>
      <protection hidden="false" locked="true"/>
    </xf>
    <xf applyAlignment="true" applyBorder="true" applyFont="false" applyProtection="false" borderId="4" fillId="7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23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24" numFmtId="164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10" fontId="0" numFmtId="164" xfId="0">
      <alignment horizontal="center" indent="0" shrinkToFit="false" textRotation="0" vertical="bottom" wrapText="false"/>
      <protection hidden="false" locked="true"/>
    </xf>
    <xf applyAlignment="false" applyBorder="false" applyFont="true" applyProtection="false" borderId="0" fillId="10" fontId="25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5" fontId="6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5" fontId="1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5" fontId="6" numFmtId="164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4" fontId="0" numFmtId="164" xfId="0">
      <alignment horizontal="general" indent="0" shrinkToFit="false" textRotation="0" vertical="bottom" wrapText="true"/>
      <protection hidden="false" locked="true"/>
    </xf>
    <xf applyAlignment="false" applyBorder="false" applyFont="true" applyProtection="false" borderId="0" fillId="11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11" fontId="7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11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25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5" fillId="2" fontId="27" numFmtId="164" xfId="21">
      <alignment horizontal="center" indent="0" shrinkToFit="false" textRotation="0" vertical="center" wrapText="true"/>
      <protection hidden="false" locked="true"/>
    </xf>
    <xf applyAlignment="true" applyBorder="true" applyFont="false" applyProtection="false" borderId="6" fillId="2" fontId="4" numFmtId="164" xfId="20">
      <alignment horizontal="left" indent="0" shrinkToFit="false" textRotation="0" vertical="top" wrapText="true"/>
      <protection hidden="false" locked="true"/>
    </xf>
    <xf applyAlignment="true" applyBorder="true" applyFont="false" applyProtection="false" borderId="6" fillId="2" fontId="4" numFmtId="167" xfId="20">
      <alignment horizontal="left" indent="0" shrinkToFit="false" textRotation="0" vertical="top" wrapText="true"/>
      <protection hidden="false" locked="true"/>
    </xf>
    <xf applyAlignment="true" applyBorder="true" applyFont="false" applyProtection="false" borderId="6" fillId="2" fontId="4" numFmtId="165" xfId="20">
      <alignment horizontal="left" indent="0" shrinkToFit="false" textRotation="0" vertical="top" wrapText="true"/>
      <protection hidden="false" locked="true"/>
    </xf>
    <xf applyAlignment="true" applyBorder="false" applyFont="true" applyProtection="false" borderId="0" fillId="0" fontId="0" numFmtId="164" xfId="0">
      <alignment horizontal="right" indent="0" shrinkToFit="false" textRotation="0" vertical="bottom" wrapText="true"/>
      <protection hidden="false" locked="true"/>
    </xf>
    <xf applyAlignment="true" applyBorder="true" applyFont="false" applyProtection="false" borderId="6" fillId="2" fontId="4" numFmtId="164" xfId="20">
      <alignment horizontal="left" indent="0" shrinkToFit="false" textRotation="0" vertical="top" wrapText="true"/>
      <protection hidden="false" locked="true"/>
    </xf>
    <xf applyAlignment="true" applyBorder="true" applyFont="false" applyProtection="false" borderId="1" fillId="6" fontId="0" numFmtId="164" xfId="0">
      <alignment horizontal="left" indent="0" shrinkToFit="false" textRotation="0" vertical="bottom" wrapText="false"/>
      <protection hidden="false" locked="true"/>
    </xf>
    <xf applyAlignment="true" applyBorder="true" applyFont="false" applyProtection="false" borderId="1" fillId="0" fontId="0" numFmtId="164" xfId="0">
      <alignment horizontal="center" indent="0" shrinkToFit="false" textRotation="0" vertical="bottom" wrapText="false"/>
      <protection hidden="false" locked="true"/>
    </xf>
  </cellXfs>
  <cellStyles count="8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S2" xfId="20"/>
    <cellStyle builtinId="54" customBuiltin="true" name="Excel Built-in Excel Built-in Excel Built-in S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8ED5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8EB4E3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E46C0A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192.168.1.101:8080/tfs/web/wi.aspx?pguid=aecd96b6-cde9-4645-9a83-49eb312df88d&amp;id=28117" TargetMode="External"/><Relationship Id="rId2" Type="http://schemas.openxmlformats.org/officeDocument/2006/relationships/hyperlink" Target="http://192.168.1.101:8080/tfs/web/wi.aspx?pguid=aecd96b6-cde9-4645-9a83-49eb312df88d&amp;id=28121" TargetMode="External"/><Relationship Id="rId3" Type="http://schemas.openxmlformats.org/officeDocument/2006/relationships/hyperlink" Target="http://192.168.1.101:8080/tfs/web/wi.aspx?pguid=aecd96b6-cde9-4645-9a83-49eb312df88d&amp;id=28124" TargetMode="External"/><Relationship Id="rId4" Type="http://schemas.openxmlformats.org/officeDocument/2006/relationships/hyperlink" Target="http://192.168.1.101:8080/tfs/web/wi.aspx?pguid=aecd96b6-cde9-4645-9a83-49eb312df88d&amp;id=28137" TargetMode="External"/><Relationship Id="rId5" Type="http://schemas.openxmlformats.org/officeDocument/2006/relationships/hyperlink" Target="http://192.168.1.101:8080/tfs/web/wi.aspx?pguid=aecd96b6-cde9-4645-9a83-49eb312df88d&amp;id=28139" TargetMode="External"/><Relationship Id="rId6" Type="http://schemas.openxmlformats.org/officeDocument/2006/relationships/hyperlink" Target="http://192.168.1.101:8080/tfs/web/wi.aspx?pguid=aecd96b6-cde9-4645-9a83-49eb312df88d&amp;id=28141" TargetMode="External"/><Relationship Id="rId7" Type="http://schemas.openxmlformats.org/officeDocument/2006/relationships/hyperlink" Target="http://192.168.1.101:8080/tfs/web/wi.aspx?pguid=aecd96b6-cde9-4645-9a83-49eb312df88d&amp;id=27974" TargetMode="External"/><Relationship Id="rId8" Type="http://schemas.openxmlformats.org/officeDocument/2006/relationships/hyperlink" Target="http://192.168.1.101:8080/tfs/web/wi.aspx?pguid=aecd96b6-cde9-4645-9a83-49eb312df88d&amp;id=27975" TargetMode="External"/><Relationship Id="rId9" Type="http://schemas.openxmlformats.org/officeDocument/2006/relationships/hyperlink" Target="http://192.168.1.101:8080/tfs/web/wi.aspx?pguid=aecd96b6-cde9-4645-9a83-49eb312df88d&amp;id=27983" TargetMode="External"/><Relationship Id="rId10" Type="http://schemas.openxmlformats.org/officeDocument/2006/relationships/hyperlink" Target="http://192.168.1.101:8080/tfs/web/wi.aspx?pguid=aecd96b6-cde9-4645-9a83-49eb312df88d&amp;id=28116" TargetMode="External"/><Relationship Id="rId11" Type="http://schemas.openxmlformats.org/officeDocument/2006/relationships/hyperlink" Target="http://192.168.1.101:8080/tfs/web/wi.aspx?pguid=aecd96b6-cde9-4645-9a83-49eb312df88d&amp;id=28132" TargetMode="External"/><Relationship Id="rId12" Type="http://schemas.openxmlformats.org/officeDocument/2006/relationships/hyperlink" Target="http://192.168.1.101:8080/tfs/web/wi.aspx?pguid=aecd96b6-cde9-4645-9a83-49eb312df88d&amp;id=28133" TargetMode="External"/><Relationship Id="rId13" Type="http://schemas.openxmlformats.org/officeDocument/2006/relationships/hyperlink" Target="http://192.168.1.101:8080/tfs/web/wi.aspx?pguid=aecd96b6-cde9-4645-9a83-49eb312df88d&amp;id=28134" TargetMode="External"/><Relationship Id="rId14" Type="http://schemas.openxmlformats.org/officeDocument/2006/relationships/hyperlink" Target="http://192.168.1.101:8080/tfs/web/wi.aspx?pguid=aecd96b6-cde9-4645-9a83-49eb312df88d&amp;id=28135" TargetMode="External"/><Relationship Id="rId15" Type="http://schemas.openxmlformats.org/officeDocument/2006/relationships/hyperlink" Target="http://192.168.1.101:8080/tfs/web/wi.aspx?pguid=aecd96b6-cde9-4645-9a83-49eb312df88d&amp;id=27967" TargetMode="External"/><Relationship Id="rId16" Type="http://schemas.openxmlformats.org/officeDocument/2006/relationships/hyperlink" Target="http://192.168.1.101:8080/tfs/web/wi.aspx?pguid=aecd96b6-cde9-4645-9a83-49eb312df88d&amp;id=27968" TargetMode="External"/><Relationship Id="rId17" Type="http://schemas.openxmlformats.org/officeDocument/2006/relationships/hyperlink" Target="http://192.168.1.101:8080/tfs/web/wi.aspx?pguid=aecd96b6-cde9-4645-9a83-49eb312df88d&amp;id=27969" TargetMode="External"/><Relationship Id="rId18" Type="http://schemas.openxmlformats.org/officeDocument/2006/relationships/hyperlink" Target="http://192.168.1.101:8080/tfs/web/wi.aspx?pguid=aecd96b6-cde9-4645-9a83-49eb312df88d&amp;id=27970" TargetMode="External"/><Relationship Id="rId19" Type="http://schemas.openxmlformats.org/officeDocument/2006/relationships/hyperlink" Target="http://192.168.1.101:8080/tfs/web/wi.aspx?pguid=aecd96b6-cde9-4645-9a83-49eb312df88d&amp;id=27971" TargetMode="External"/><Relationship Id="rId20" Type="http://schemas.openxmlformats.org/officeDocument/2006/relationships/hyperlink" Target="http://192.168.1.101:8080/tfs/web/wi.aspx?pguid=aecd96b6-cde9-4645-9a83-49eb312df88d&amp;id=27972" TargetMode="External"/><Relationship Id="rId21" Type="http://schemas.openxmlformats.org/officeDocument/2006/relationships/hyperlink" Target="http://192.168.1.101:8080/tfs/web/wi.aspx?pguid=aecd96b6-cde9-4645-9a83-49eb312df88d&amp;id=27980" TargetMode="External"/><Relationship Id="rId22" Type="http://schemas.openxmlformats.org/officeDocument/2006/relationships/hyperlink" Target="http://192.168.1.101:8080/tfs/web/wi.aspx?pguid=aecd96b6-cde9-4645-9a83-49eb312df88d&amp;id=27982" TargetMode="External"/><Relationship Id="rId23" Type="http://schemas.openxmlformats.org/officeDocument/2006/relationships/hyperlink" Target="http://192.168.1.101:8080/tfs/web/wi.aspx?pguid=aecd96b6-cde9-4645-9a83-49eb312df88d&amp;id=26522" TargetMode="External"/><Relationship Id="rId24" Type="http://schemas.openxmlformats.org/officeDocument/2006/relationships/hyperlink" Target="http://192.168.1.101:8080/tfs/web/wi.aspx?pguid=aecd96b6-cde9-4645-9a83-49eb312df88d&amp;id=26544" TargetMode="External"/><Relationship Id="rId25" Type="http://schemas.openxmlformats.org/officeDocument/2006/relationships/hyperlink" Target="http://192.168.1.101:8080/tfs/web/wi.aspx?pguid=aecd96b6-cde9-4645-9a83-49eb312df88d&amp;id=26545" TargetMode="External"/><Relationship Id="rId26" Type="http://schemas.openxmlformats.org/officeDocument/2006/relationships/hyperlink" Target="http://192.168.1.101:8080/tfs/web/wi.aspx?pguid=aecd96b6-cde9-4645-9a83-49eb312df88d&amp;id=26550" TargetMode="External"/><Relationship Id="rId27" Type="http://schemas.openxmlformats.org/officeDocument/2006/relationships/hyperlink" Target="http://192.168.1.101:8080/tfs/web/wi.aspx?pguid=aecd96b6-cde9-4645-9a83-49eb312df88d&amp;id=2655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8"/>
  <sheetViews>
    <sheetView colorId="64" defaultGridColor="true" rightToLeft="false" showFormulas="false" showGridLines="true" showOutlineSymbols="true" showRowColHeaders="true" showZeros="true" tabSelected="false" topLeftCell="A4" view="normal" windowProtection="false" workbookViewId="0" zoomScale="90" zoomScaleNormal="90" zoomScalePageLayoutView="100">
      <selection activeCell="J14" activeCellId="1" pane="topLeft" sqref="B4:F35 J14"/>
    </sheetView>
  </sheetViews>
  <sheetFormatPr defaultRowHeight="12.8"/>
  <cols>
    <col collapsed="false" hidden="false" max="1" min="1" style="1" width="3.57085020242915"/>
    <col collapsed="false" hidden="false" max="2" min="2" style="2" width="82.6396761133603"/>
    <col collapsed="false" hidden="true" max="9" min="3" style="0" width="0"/>
    <col collapsed="false" hidden="false" max="10" min="10" style="3" width="10.8623481781377"/>
    <col collapsed="false" hidden="false" max="11" min="11" style="0" width="12.2105263157895"/>
    <col collapsed="false" hidden="false" max="12" min="12" style="0" width="8.89068825910931"/>
    <col collapsed="false" hidden="false" max="13" min="13" style="0" width="12.2105263157895"/>
    <col collapsed="false" hidden="false" max="14" min="14" style="0" width="12.5060728744939"/>
    <col collapsed="false" hidden="false" max="15" min="15" style="0" width="8.89068825910931"/>
    <col collapsed="false" hidden="false" max="16" min="16" style="0" width="14.7449392712551"/>
    <col collapsed="false" hidden="false" max="17" min="17" style="0" width="12.6477732793522"/>
    <col collapsed="false" hidden="false" max="18" min="18" style="0" width="7.5748987854251"/>
    <col collapsed="false" hidden="false" max="19" min="19" style="0" width="11.1538461538462"/>
    <col collapsed="false" hidden="false" max="1025" min="20" style="0" width="8.89068825910931"/>
  </cols>
  <sheetData>
    <row collapsed="false" customFormat="false" customHeight="true" hidden="false" ht="32.25" outlineLevel="0" r="1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collapsed="false" customFormat="true" customHeight="true" hidden="false" ht="21.75" outlineLevel="0" r="3" s="9">
      <c r="A3" s="6"/>
      <c r="B3" s="7" t="s">
        <v>1</v>
      </c>
      <c r="C3" s="6"/>
      <c r="D3" s="6"/>
      <c r="E3" s="6"/>
      <c r="F3" s="6"/>
      <c r="G3" s="6"/>
      <c r="H3" s="6"/>
      <c r="I3" s="6"/>
      <c r="J3" s="8" t="s">
        <v>2</v>
      </c>
      <c r="K3" s="6" t="s">
        <v>3</v>
      </c>
      <c r="L3" s="6"/>
      <c r="M3" s="6"/>
      <c r="N3" s="6"/>
      <c r="O3" s="6"/>
      <c r="P3" s="6"/>
      <c r="Q3" s="6"/>
      <c r="R3" s="6"/>
      <c r="S3" s="6" t="s">
        <v>4</v>
      </c>
    </row>
    <row collapsed="false" customFormat="false" customHeight="true" hidden="false" ht="20.25" outlineLevel="0" r="4">
      <c r="A4" s="10"/>
      <c r="B4" s="11"/>
      <c r="C4" s="12"/>
      <c r="D4" s="12"/>
      <c r="E4" s="12"/>
      <c r="F4" s="12"/>
      <c r="G4" s="12"/>
      <c r="H4" s="12"/>
      <c r="I4" s="12"/>
      <c r="J4" s="13"/>
      <c r="K4" s="14"/>
      <c r="L4" s="14"/>
      <c r="M4" s="14"/>
      <c r="N4" s="14"/>
      <c r="O4" s="14"/>
      <c r="P4" s="14"/>
      <c r="Q4" s="14"/>
      <c r="R4" s="14"/>
      <c r="S4" s="15" t="s">
        <v>5</v>
      </c>
    </row>
    <row collapsed="false" customFormat="false" customHeight="true" hidden="false" ht="15.75" outlineLevel="0" r="5">
      <c r="A5" s="10"/>
      <c r="B5" s="16" t="s">
        <v>6</v>
      </c>
      <c r="C5" s="16"/>
      <c r="D5" s="16"/>
      <c r="E5" s="16"/>
      <c r="F5" s="16"/>
      <c r="G5" s="16"/>
      <c r="H5" s="16"/>
      <c r="I5" s="16"/>
      <c r="J5" s="17" t="n">
        <v>147</v>
      </c>
      <c r="K5" s="18"/>
      <c r="L5" s="18"/>
      <c r="M5" s="18"/>
      <c r="N5" s="18"/>
      <c r="O5" s="18"/>
      <c r="P5" s="18"/>
      <c r="Q5" s="18"/>
      <c r="R5" s="18"/>
      <c r="S5" s="19"/>
    </row>
    <row collapsed="false" customFormat="false" customHeight="true" hidden="false" ht="14.9" outlineLevel="0" r="6">
      <c r="B6" s="20" t="s">
        <v>7</v>
      </c>
      <c r="J6" s="21" t="n">
        <f aca="false">SUM(J4:J5)</f>
        <v>147</v>
      </c>
    </row>
    <row collapsed="false" customFormat="false" customHeight="true" hidden="false" ht="13.3" outlineLevel="0" r="7">
      <c r="B7" s="20"/>
      <c r="J7" s="21"/>
    </row>
    <row collapsed="false" customFormat="false" customHeight="true" hidden="false" ht="17.25" outlineLevel="0" r="8">
      <c r="A8" s="22"/>
      <c r="B8" s="23" t="s">
        <v>8</v>
      </c>
      <c r="C8" s="24"/>
      <c r="D8" s="24"/>
      <c r="E8" s="24"/>
      <c r="F8" s="24"/>
      <c r="G8" s="24"/>
      <c r="H8" s="24"/>
      <c r="I8" s="24"/>
      <c r="J8" s="25"/>
      <c r="K8" s="24"/>
      <c r="L8" s="24"/>
      <c r="M8" s="24"/>
      <c r="N8" s="24"/>
      <c r="O8" s="24"/>
      <c r="P8" s="24"/>
      <c r="Q8" s="24"/>
      <c r="R8" s="24"/>
      <c r="S8" s="24"/>
    </row>
    <row collapsed="false" customFormat="false" customHeight="true" hidden="false" ht="14.9" outlineLevel="0" r="9">
      <c r="B9" s="26" t="s">
        <v>9</v>
      </c>
      <c r="J9" s="27" t="n">
        <v>22</v>
      </c>
      <c r="K9" s="28" t="s">
        <v>10</v>
      </c>
      <c r="M9" s="29" t="s">
        <v>11</v>
      </c>
      <c r="N9" s="29" t="s">
        <v>12</v>
      </c>
      <c r="P9" s="30" t="s">
        <v>13</v>
      </c>
      <c r="Q9" s="31" t="s">
        <v>14</v>
      </c>
      <c r="R9" s="32" t="s">
        <v>15</v>
      </c>
      <c r="S9" s="31" t="s">
        <v>16</v>
      </c>
    </row>
    <row collapsed="false" customFormat="false" customHeight="true" hidden="false" ht="14.05" outlineLevel="0" r="10">
      <c r="B10" s="26" t="s">
        <v>17</v>
      </c>
      <c r="C10" s="33"/>
      <c r="D10" s="33"/>
      <c r="E10" s="33"/>
      <c r="F10" s="33"/>
      <c r="G10" s="33"/>
      <c r="H10" s="33"/>
      <c r="I10" s="33"/>
      <c r="J10" s="34" t="n">
        <f aca="false">J9*7.5</f>
        <v>165</v>
      </c>
      <c r="K10" s="28" t="s">
        <v>18</v>
      </c>
      <c r="M10" s="35" t="n">
        <v>41385</v>
      </c>
      <c r="N10" s="35" t="n">
        <v>41419</v>
      </c>
      <c r="P10" s="36"/>
      <c r="Q10" s="37"/>
      <c r="R10" s="38"/>
      <c r="S10" s="39"/>
    </row>
    <row collapsed="false" customFormat="false" customHeight="true" hidden="false" ht="13.3" outlineLevel="0" r="11">
      <c r="B11" s="40"/>
      <c r="C11" s="41"/>
      <c r="D11" s="41"/>
      <c r="E11" s="41"/>
      <c r="F11" s="41"/>
      <c r="G11" s="41"/>
      <c r="H11" s="41"/>
      <c r="I11" s="41"/>
      <c r="J11" s="42"/>
      <c r="K11" s="43"/>
      <c r="M11" s="44"/>
      <c r="N11" s="44"/>
      <c r="P11" s="36"/>
      <c r="Q11" s="37"/>
      <c r="R11" s="45"/>
      <c r="S11" s="39"/>
    </row>
    <row collapsed="false" customFormat="false" customHeight="true" hidden="false" ht="14.9" outlineLevel="0" r="12">
      <c r="B12" s="26" t="s">
        <v>19</v>
      </c>
      <c r="C12" s="33"/>
      <c r="D12" s="33"/>
      <c r="E12" s="33"/>
      <c r="F12" s="33"/>
      <c r="G12" s="33"/>
      <c r="H12" s="33"/>
      <c r="I12" s="33"/>
      <c r="J12" s="46" t="n">
        <v>0</v>
      </c>
      <c r="K12" s="28" t="s">
        <v>18</v>
      </c>
      <c r="M12" s="47"/>
      <c r="N12" s="47"/>
      <c r="P12" s="48"/>
      <c r="Q12" s="12"/>
      <c r="R12" s="49"/>
      <c r="S12" s="39"/>
    </row>
    <row collapsed="false" customFormat="false" customHeight="true" hidden="false" ht="14.9" outlineLevel="0" r="13">
      <c r="B13" s="26" t="s">
        <v>20</v>
      </c>
      <c r="C13" s="33"/>
      <c r="D13" s="33"/>
      <c r="E13" s="33"/>
      <c r="F13" s="33"/>
      <c r="G13" s="33"/>
      <c r="H13" s="33"/>
      <c r="I13" s="33"/>
      <c r="J13" s="50" t="n">
        <v>2</v>
      </c>
      <c r="K13" s="28" t="s">
        <v>10</v>
      </c>
      <c r="M13" s="51"/>
      <c r="N13" s="51"/>
      <c r="P13" s="12"/>
      <c r="Q13" s="12"/>
      <c r="R13" s="49"/>
      <c r="S13" s="12"/>
    </row>
    <row collapsed="false" customFormat="false" customHeight="true" hidden="false" ht="14.9" outlineLevel="0" r="14">
      <c r="B14" s="26" t="s">
        <v>21</v>
      </c>
      <c r="C14" s="33"/>
      <c r="D14" s="33"/>
      <c r="E14" s="33"/>
      <c r="F14" s="33"/>
      <c r="G14" s="33"/>
      <c r="H14" s="33"/>
      <c r="I14" s="33"/>
      <c r="J14" s="50" t="n">
        <v>4</v>
      </c>
      <c r="K14" s="28" t="s">
        <v>18</v>
      </c>
      <c r="M14" s="52"/>
      <c r="N14" s="52"/>
      <c r="P14" s="12"/>
      <c r="Q14" s="12"/>
      <c r="R14" s="49"/>
      <c r="S14" s="12"/>
    </row>
    <row collapsed="false" customFormat="false" customHeight="true" hidden="false" ht="14.9" outlineLevel="0" r="15">
      <c r="B15" s="53" t="s">
        <v>22</v>
      </c>
      <c r="C15" s="33"/>
      <c r="D15" s="33"/>
      <c r="E15" s="33"/>
      <c r="F15" s="33"/>
      <c r="G15" s="33"/>
      <c r="H15" s="33"/>
      <c r="I15" s="33"/>
      <c r="J15" s="50" t="n">
        <v>0</v>
      </c>
      <c r="K15" s="28" t="s">
        <v>18</v>
      </c>
      <c r="M15" s="54"/>
      <c r="N15" s="54"/>
      <c r="P15" s="12"/>
      <c r="Q15" s="12"/>
      <c r="R15" s="49"/>
      <c r="S15" s="12"/>
    </row>
    <row collapsed="false" customFormat="false" customHeight="true" hidden="false" ht="19.3" outlineLevel="0" r="16">
      <c r="B16" s="55" t="s">
        <v>23</v>
      </c>
      <c r="C16" s="33"/>
      <c r="D16" s="33"/>
      <c r="E16" s="33"/>
      <c r="F16" s="33"/>
      <c r="G16" s="33"/>
      <c r="H16" s="33"/>
      <c r="I16" s="33"/>
      <c r="J16" s="56" t="n">
        <f aca="false">SUM(J10+J12-(J13*7.5)-J14 - J15)</f>
        <v>146</v>
      </c>
      <c r="K16" s="57" t="s">
        <v>18</v>
      </c>
      <c r="M16" s="58"/>
      <c r="N16" s="58"/>
      <c r="P16" s="12"/>
      <c r="Q16" s="12"/>
      <c r="R16" s="49"/>
      <c r="S16" s="12"/>
    </row>
    <row collapsed="false" customFormat="false" customHeight="true" hidden="false" ht="13.3" outlineLevel="0" r="17">
      <c r="M17" s="58"/>
      <c r="N17" s="58"/>
      <c r="P17" s="12"/>
      <c r="Q17" s="12"/>
      <c r="R17" s="49"/>
      <c r="S17" s="12"/>
    </row>
    <row collapsed="false" customFormat="false" customHeight="true" hidden="false" ht="14.9" outlineLevel="0" r="18">
      <c r="B18" s="59" t="s">
        <v>24</v>
      </c>
      <c r="C18" s="60"/>
      <c r="D18" s="60"/>
      <c r="E18" s="60"/>
      <c r="F18" s="60"/>
      <c r="G18" s="60"/>
      <c r="H18" s="60"/>
      <c r="I18" s="60"/>
      <c r="J18" s="50" t="n">
        <v>20</v>
      </c>
      <c r="K18" s="60"/>
      <c r="M18" s="61"/>
      <c r="N18" s="61"/>
      <c r="P18" s="12"/>
      <c r="Q18" s="12"/>
      <c r="R18" s="49"/>
      <c r="S18" s="12"/>
    </row>
    <row collapsed="false" customFormat="false" customHeight="true" hidden="false" ht="21.75" outlineLevel="0" r="19">
      <c r="B19" s="59" t="s">
        <v>25</v>
      </c>
      <c r="C19" s="60"/>
      <c r="D19" s="60"/>
      <c r="E19" s="60"/>
      <c r="F19" s="60"/>
      <c r="G19" s="60"/>
      <c r="H19" s="60"/>
      <c r="I19" s="60"/>
      <c r="J19" s="62" t="n">
        <f aca="false">(J6/J16)*80</f>
        <v>80.5479452054795</v>
      </c>
      <c r="K19" s="60"/>
      <c r="M19" s="61"/>
      <c r="N19" s="61"/>
      <c r="P19" s="12"/>
      <c r="Q19" s="12"/>
      <c r="R19" s="49"/>
      <c r="S19" s="12"/>
    </row>
    <row collapsed="false" customFormat="false" customHeight="true" hidden="false" ht="17.9" outlineLevel="0" r="20">
      <c r="B20" s="63" t="s">
        <v>26</v>
      </c>
      <c r="C20" s="64"/>
      <c r="D20" s="64"/>
      <c r="E20" s="64"/>
      <c r="F20" s="64"/>
      <c r="G20" s="64"/>
      <c r="H20" s="64"/>
      <c r="I20" s="64"/>
      <c r="J20" s="65" t="n">
        <f aca="false">SUM(J18:J19)</f>
        <v>100.547945205479</v>
      </c>
      <c r="K20" s="64"/>
      <c r="M20" s="66"/>
      <c r="N20" s="66"/>
      <c r="P20" s="12"/>
      <c r="Q20" s="12"/>
      <c r="R20" s="49"/>
      <c r="S20" s="12"/>
    </row>
    <row collapsed="false" customFormat="false" customHeight="true" hidden="false" ht="13.3" outlineLevel="0" r="21">
      <c r="P21" s="12"/>
      <c r="Q21" s="12"/>
      <c r="R21" s="49"/>
      <c r="S21" s="12"/>
    </row>
    <row collapsed="false" customFormat="false" customHeight="true" hidden="false" ht="13.3" outlineLevel="0" r="22">
      <c r="P22" s="12"/>
      <c r="Q22" s="12"/>
      <c r="R22" s="49"/>
      <c r="S22" s="12"/>
    </row>
    <row collapsed="false" customFormat="false" customHeight="true" hidden="false" ht="13.3" outlineLevel="0" r="23">
      <c r="P23" s="12"/>
      <c r="Q23" s="12"/>
      <c r="R23" s="49"/>
      <c r="S23" s="12"/>
    </row>
    <row collapsed="false" customFormat="false" customHeight="true" hidden="false" ht="16.9" outlineLevel="0" r="24">
      <c r="B24" s="67"/>
      <c r="P24" s="12"/>
      <c r="Q24" s="12"/>
      <c r="R24" s="49"/>
      <c r="S24" s="12"/>
    </row>
    <row collapsed="false" customFormat="false" customHeight="true" hidden="false" ht="13.3" outlineLevel="0" r="25">
      <c r="P25" s="12"/>
      <c r="Q25" s="12"/>
      <c r="R25" s="49"/>
      <c r="S25" s="12"/>
    </row>
    <row collapsed="false" customFormat="false" customHeight="true" hidden="false" ht="13.3" outlineLevel="0" r="26">
      <c r="K26" s="68"/>
      <c r="P26" s="12"/>
      <c r="Q26" s="12"/>
      <c r="R26" s="49"/>
      <c r="S26" s="12"/>
    </row>
    <row collapsed="false" customFormat="false" customHeight="true" hidden="false" ht="14.5" outlineLevel="0" r="27">
      <c r="J27" s="69" t="n">
        <f aca="false">J16-J6</f>
        <v>-1</v>
      </c>
      <c r="K27" s="3"/>
      <c r="L27" s="70"/>
      <c r="P27" s="71"/>
      <c r="Q27" s="72" t="s">
        <v>27</v>
      </c>
      <c r="R27" s="73" t="n">
        <f aca="false">SUM(R10:R26)</f>
        <v>0</v>
      </c>
      <c r="S27" s="12"/>
    </row>
    <row collapsed="false" customFormat="false" customHeight="true" hidden="false" ht="13.3" outlineLevel="0" r="28">
      <c r="A28" s="22"/>
      <c r="B28" s="74"/>
      <c r="C28" s="24"/>
      <c r="D28" s="24"/>
      <c r="E28" s="24"/>
      <c r="F28" s="24"/>
      <c r="G28" s="24"/>
      <c r="H28" s="24"/>
      <c r="I28" s="24"/>
      <c r="J28" s="25"/>
      <c r="K28" s="24"/>
      <c r="L28" s="24"/>
      <c r="M28" s="24"/>
      <c r="N28" s="24"/>
      <c r="O28" s="24"/>
      <c r="P28" s="24"/>
      <c r="Q28" s="24"/>
      <c r="R28" s="24"/>
      <c r="S28" s="24"/>
    </row>
  </sheetData>
  <mergeCells count="13">
    <mergeCell ref="B1:R1"/>
    <mergeCell ref="K3:R3"/>
    <mergeCell ref="K4:R4"/>
    <mergeCell ref="B5:I5"/>
    <mergeCell ref="K5:R5"/>
    <mergeCell ref="M11:N11"/>
    <mergeCell ref="M12:N12"/>
    <mergeCell ref="M13:N13"/>
    <mergeCell ref="M14:N14"/>
    <mergeCell ref="M15:N15"/>
    <mergeCell ref="M16:N17"/>
    <mergeCell ref="M18:N19"/>
    <mergeCell ref="M20:N20"/>
  </mergeCells>
  <hyperlinks>
    <hyperlink display="Items List" location="Oracle!A1" ref="S4"/>
    <hyperlink display="Missed Time from Attendance" location="Attendance!A1" ref="B15"/>
  </hyperlink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2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0" zoomScaleNormal="90" zoomScalePageLayoutView="100">
      <selection activeCell="E28" activeCellId="0" pane="topLeft" sqref="B4:F35"/>
    </sheetView>
  </sheetViews>
  <sheetFormatPr defaultRowHeight="13.3"/>
  <cols>
    <col collapsed="false" hidden="true" max="2" min="1" style="0" width="0"/>
    <col collapsed="false" hidden="false" max="3" min="3" style="0" width="8.93522267206478"/>
    <col collapsed="false" hidden="false" max="4" min="4" style="0" width="73.7246963562753"/>
    <col collapsed="false" hidden="false" max="5" min="5" style="0" width="9.54655870445344"/>
    <col collapsed="false" hidden="true" max="8" min="6" style="0" width="0"/>
    <col collapsed="false" hidden="false" max="9" min="9" style="0" width="13.0688259109312"/>
    <col collapsed="false" hidden="false" max="10" min="10" style="0" width="25.4534412955466"/>
    <col collapsed="false" hidden="false" max="1025" min="11" style="0" width="9.54655870445344"/>
  </cols>
  <sheetData>
    <row collapsed="false" customFormat="true" customHeight="true" hidden="false" ht="13.3" outlineLevel="0" r="1" s="76">
      <c r="A1" s="75"/>
      <c r="B1" s="75"/>
      <c r="C1" s="75" t="s">
        <v>28</v>
      </c>
      <c r="D1" s="75" t="s">
        <v>29</v>
      </c>
      <c r="E1" s="75" t="s">
        <v>30</v>
      </c>
      <c r="F1" s="0"/>
      <c r="G1" s="75" t="s">
        <v>31</v>
      </c>
      <c r="AMF1" s="77"/>
      <c r="AMG1" s="77"/>
      <c r="AMH1" s="77"/>
      <c r="AMI1" s="77"/>
      <c r="AMJ1" s="77"/>
    </row>
    <row collapsed="false" customFormat="false" customHeight="true" hidden="false" ht="14.9" outlineLevel="0" r="2">
      <c r="A2" s="78"/>
      <c r="B2" s="78"/>
      <c r="C2" s="78" t="s">
        <v>32</v>
      </c>
      <c r="D2" s="78" t="s">
        <v>33</v>
      </c>
      <c r="E2" s="78" t="n">
        <v>6</v>
      </c>
      <c r="F2" s="78"/>
      <c r="G2" s="78" t="s">
        <v>34</v>
      </c>
      <c r="H2" s="78" t="s">
        <v>35</v>
      </c>
    </row>
    <row collapsed="false" customFormat="false" customHeight="true" hidden="false" ht="14.9" outlineLevel="0" r="3">
      <c r="A3" s="78"/>
      <c r="B3" s="78"/>
      <c r="C3" s="78" t="s">
        <v>36</v>
      </c>
      <c r="D3" s="78" t="s">
        <v>37</v>
      </c>
      <c r="E3" s="78" t="n">
        <v>6</v>
      </c>
      <c r="F3" s="78"/>
      <c r="G3" s="78" t="s">
        <v>34</v>
      </c>
      <c r="H3" s="78" t="s">
        <v>35</v>
      </c>
    </row>
    <row collapsed="false" customFormat="false" customHeight="true" hidden="false" ht="14.9" outlineLevel="0" r="4">
      <c r="A4" s="78"/>
      <c r="B4" s="78"/>
      <c r="C4" s="78" t="s">
        <v>38</v>
      </c>
      <c r="D4" s="78" t="s">
        <v>39</v>
      </c>
      <c r="E4" s="78" t="n">
        <v>6</v>
      </c>
      <c r="F4" s="78"/>
      <c r="G4" s="78" t="s">
        <v>34</v>
      </c>
      <c r="H4" s="78" t="s">
        <v>35</v>
      </c>
    </row>
    <row collapsed="false" customFormat="false" customHeight="true" hidden="false" ht="14.9" outlineLevel="0" r="5">
      <c r="A5" s="78"/>
      <c r="B5" s="78"/>
      <c r="C5" s="78" t="s">
        <v>40</v>
      </c>
      <c r="D5" s="78" t="s">
        <v>41</v>
      </c>
      <c r="E5" s="78" t="n">
        <v>6</v>
      </c>
      <c r="F5" s="78"/>
      <c r="G5" s="78" t="s">
        <v>34</v>
      </c>
      <c r="H5" s="78" t="s">
        <v>35</v>
      </c>
    </row>
    <row collapsed="false" customFormat="false" customHeight="true" hidden="false" ht="14.9" outlineLevel="0" r="6">
      <c r="A6" s="78"/>
      <c r="B6" s="78"/>
      <c r="C6" s="78" t="s">
        <v>42</v>
      </c>
      <c r="D6" s="78" t="s">
        <v>43</v>
      </c>
      <c r="E6" s="78" t="n">
        <v>7</v>
      </c>
      <c r="F6" s="78"/>
      <c r="G6" s="78" t="s">
        <v>34</v>
      </c>
      <c r="H6" s="78" t="s">
        <v>35</v>
      </c>
    </row>
    <row collapsed="false" customFormat="false" customHeight="true" hidden="false" ht="14.9" outlineLevel="0" r="7">
      <c r="A7" s="78"/>
      <c r="B7" s="78"/>
      <c r="C7" s="78" t="s">
        <v>44</v>
      </c>
      <c r="D7" s="78" t="s">
        <v>45</v>
      </c>
      <c r="E7" s="78" t="n">
        <v>15</v>
      </c>
      <c r="F7" s="78"/>
      <c r="G7" s="78" t="s">
        <v>34</v>
      </c>
      <c r="H7" s="78" t="s">
        <v>35</v>
      </c>
    </row>
    <row collapsed="false" customFormat="false" customHeight="true" hidden="false" ht="14.9" outlineLevel="0" r="8">
      <c r="A8" s="78"/>
      <c r="B8" s="78"/>
      <c r="C8" s="78" t="s">
        <v>46</v>
      </c>
      <c r="D8" s="78" t="s">
        <v>47</v>
      </c>
      <c r="E8" s="78" t="n">
        <v>10</v>
      </c>
      <c r="F8" s="78"/>
      <c r="G8" s="78" t="s">
        <v>34</v>
      </c>
      <c r="H8" s="78" t="s">
        <v>35</v>
      </c>
    </row>
    <row collapsed="false" customFormat="false" customHeight="true" hidden="false" ht="14.9" outlineLevel="0" r="9">
      <c r="A9" s="78"/>
      <c r="B9" s="78"/>
      <c r="C9" s="78" t="s">
        <v>48</v>
      </c>
      <c r="D9" s="78" t="s">
        <v>49</v>
      </c>
      <c r="E9" s="78" t="n">
        <v>8</v>
      </c>
      <c r="F9" s="78"/>
      <c r="G9" s="78" t="s">
        <v>34</v>
      </c>
      <c r="H9" s="78" t="s">
        <v>35</v>
      </c>
    </row>
    <row collapsed="false" customFormat="false" customHeight="true" hidden="false" ht="14.9" outlineLevel="0" r="10">
      <c r="A10" s="78"/>
      <c r="B10" s="78"/>
      <c r="C10" s="78" t="s">
        <v>50</v>
      </c>
      <c r="D10" s="78" t="s">
        <v>51</v>
      </c>
      <c r="E10" s="78" t="n">
        <v>4</v>
      </c>
      <c r="F10" s="78"/>
      <c r="G10" s="78" t="s">
        <v>34</v>
      </c>
      <c r="H10" s="78" t="s">
        <v>35</v>
      </c>
    </row>
    <row collapsed="false" customFormat="false" customHeight="true" hidden="false" ht="14.9" outlineLevel="0" r="11">
      <c r="A11" s="78"/>
      <c r="B11" s="78"/>
      <c r="C11" s="78" t="s">
        <v>52</v>
      </c>
      <c r="D11" s="78" t="s">
        <v>53</v>
      </c>
      <c r="E11" s="78" t="n">
        <v>3.5</v>
      </c>
      <c r="F11" s="78"/>
      <c r="G11" s="78" t="s">
        <v>34</v>
      </c>
      <c r="H11" s="78" t="s">
        <v>35</v>
      </c>
    </row>
    <row collapsed="false" customFormat="false" customHeight="true" hidden="false" ht="14.9" outlineLevel="0" r="12">
      <c r="A12" s="78"/>
      <c r="B12" s="78"/>
      <c r="C12" s="78" t="s">
        <v>54</v>
      </c>
      <c r="D12" s="78" t="s">
        <v>55</v>
      </c>
      <c r="E12" s="78" t="n">
        <v>3.5</v>
      </c>
      <c r="F12" s="78"/>
      <c r="G12" s="78" t="s">
        <v>34</v>
      </c>
      <c r="H12" s="78" t="s">
        <v>35</v>
      </c>
    </row>
    <row collapsed="false" customFormat="false" customHeight="true" hidden="false" ht="14.9" outlineLevel="0" r="13">
      <c r="A13" s="78"/>
      <c r="B13" s="78"/>
      <c r="C13" s="78" t="s">
        <v>56</v>
      </c>
      <c r="D13" s="78" t="s">
        <v>55</v>
      </c>
      <c r="E13" s="78" t="n">
        <v>3.5</v>
      </c>
      <c r="F13" s="78"/>
      <c r="G13" s="78" t="s">
        <v>34</v>
      </c>
      <c r="H13" s="78" t="s">
        <v>35</v>
      </c>
    </row>
    <row collapsed="false" customFormat="false" customHeight="true" hidden="false" ht="14.9" outlineLevel="0" r="14">
      <c r="A14" s="78"/>
      <c r="B14" s="78"/>
      <c r="C14" s="78" t="s">
        <v>57</v>
      </c>
      <c r="D14" s="78" t="s">
        <v>58</v>
      </c>
      <c r="E14" s="78" t="n">
        <v>3</v>
      </c>
      <c r="F14" s="78"/>
      <c r="G14" s="78" t="s">
        <v>34</v>
      </c>
      <c r="H14" s="78" t="s">
        <v>35</v>
      </c>
    </row>
    <row collapsed="false" customFormat="false" customHeight="true" hidden="false" ht="14.9" outlineLevel="0" r="15">
      <c r="A15" s="78"/>
      <c r="B15" s="78"/>
      <c r="C15" s="78" t="s">
        <v>59</v>
      </c>
      <c r="D15" s="78" t="s">
        <v>60</v>
      </c>
      <c r="E15" s="78" t="n">
        <v>12</v>
      </c>
      <c r="F15" s="78"/>
      <c r="G15" s="78" t="s">
        <v>34</v>
      </c>
      <c r="H15" s="78" t="s">
        <v>35</v>
      </c>
    </row>
    <row collapsed="false" customFormat="false" customHeight="true" hidden="false" ht="14.9" outlineLevel="0" r="16">
      <c r="A16" s="78"/>
      <c r="B16" s="78"/>
      <c r="C16" s="78" t="s">
        <v>61</v>
      </c>
      <c r="D16" s="78" t="s">
        <v>62</v>
      </c>
      <c r="E16" s="78" t="n">
        <v>3.5</v>
      </c>
      <c r="F16" s="78"/>
      <c r="G16" s="78" t="s">
        <v>34</v>
      </c>
      <c r="H16" s="78" t="s">
        <v>35</v>
      </c>
    </row>
    <row collapsed="false" customFormat="false" customHeight="true" hidden="false" ht="14.9" outlineLevel="0" r="17">
      <c r="A17" s="78"/>
      <c r="B17" s="78"/>
      <c r="C17" s="78" t="s">
        <v>63</v>
      </c>
      <c r="D17" s="78" t="s">
        <v>64</v>
      </c>
      <c r="E17" s="78" t="n">
        <v>3</v>
      </c>
      <c r="F17" s="78"/>
      <c r="G17" s="78" t="s">
        <v>34</v>
      </c>
      <c r="H17" s="78" t="s">
        <v>35</v>
      </c>
    </row>
    <row collapsed="false" customFormat="false" customHeight="false" hidden="false" ht="14.05" outlineLevel="0" r="18">
      <c r="A18" s="78"/>
      <c r="B18" s="78"/>
      <c r="C18" s="78" t="s">
        <v>65</v>
      </c>
      <c r="D18" s="78" t="s">
        <v>66</v>
      </c>
      <c r="E18" s="78" t="n">
        <v>3</v>
      </c>
      <c r="F18" s="78"/>
      <c r="G18" s="78" t="s">
        <v>34</v>
      </c>
      <c r="H18" s="78" t="s">
        <v>35</v>
      </c>
    </row>
    <row collapsed="false" customFormat="false" customHeight="false" hidden="false" ht="14.05" outlineLevel="0" r="19">
      <c r="A19" s="78"/>
      <c r="B19" s="78"/>
      <c r="C19" s="78" t="s">
        <v>67</v>
      </c>
      <c r="D19" s="78" t="s">
        <v>68</v>
      </c>
      <c r="E19" s="78" t="n">
        <v>2</v>
      </c>
      <c r="F19" s="78"/>
      <c r="G19" s="78" t="s">
        <v>34</v>
      </c>
      <c r="H19" s="78" t="s">
        <v>35</v>
      </c>
    </row>
    <row collapsed="false" customFormat="false" customHeight="false" hidden="false" ht="14.05" outlineLevel="0" r="20">
      <c r="A20" s="78"/>
      <c r="B20" s="78"/>
      <c r="C20" s="78" t="s">
        <v>69</v>
      </c>
      <c r="D20" s="78" t="s">
        <v>70</v>
      </c>
      <c r="E20" s="78" t="n">
        <v>2.5</v>
      </c>
      <c r="F20" s="78"/>
      <c r="G20" s="78" t="s">
        <v>34</v>
      </c>
      <c r="H20" s="78" t="s">
        <v>35</v>
      </c>
    </row>
    <row collapsed="false" customFormat="false" customHeight="false" hidden="false" ht="14.05" outlineLevel="0" r="21">
      <c r="A21" s="78"/>
      <c r="B21" s="78"/>
      <c r="C21" s="78" t="s">
        <v>71</v>
      </c>
      <c r="D21" s="78" t="s">
        <v>72</v>
      </c>
      <c r="E21" s="78" t="n">
        <v>2.5</v>
      </c>
      <c r="F21" s="78"/>
      <c r="G21" s="78" t="s">
        <v>34</v>
      </c>
      <c r="H21" s="78" t="s">
        <v>35</v>
      </c>
    </row>
    <row collapsed="false" customFormat="false" customHeight="false" hidden="false" ht="14.05" outlineLevel="0" r="22">
      <c r="A22" s="78"/>
      <c r="B22" s="78"/>
      <c r="C22" s="78" t="s">
        <v>73</v>
      </c>
      <c r="D22" s="78" t="s">
        <v>74</v>
      </c>
      <c r="E22" s="78" t="n">
        <v>4</v>
      </c>
      <c r="F22" s="78"/>
      <c r="G22" s="78" t="s">
        <v>34</v>
      </c>
      <c r="H22" s="78" t="s">
        <v>35</v>
      </c>
    </row>
    <row collapsed="false" customFormat="false" customHeight="false" hidden="false" ht="14.05" outlineLevel="0" r="23">
      <c r="A23" s="78"/>
      <c r="B23" s="78"/>
      <c r="C23" s="78" t="s">
        <v>75</v>
      </c>
      <c r="D23" s="78" t="s">
        <v>76</v>
      </c>
      <c r="E23" s="78" t="n">
        <v>2.5</v>
      </c>
      <c r="F23" s="78"/>
      <c r="G23" s="78" t="s">
        <v>34</v>
      </c>
      <c r="H23" s="78" t="s">
        <v>35</v>
      </c>
    </row>
    <row collapsed="false" customFormat="false" customHeight="false" hidden="false" ht="14.05" outlineLevel="0" r="24">
      <c r="A24" s="78"/>
      <c r="B24" s="78"/>
      <c r="C24" s="78" t="s">
        <v>77</v>
      </c>
      <c r="D24" s="78" t="s">
        <v>78</v>
      </c>
      <c r="E24" s="78" t="n">
        <v>10</v>
      </c>
      <c r="F24" s="78"/>
      <c r="G24" s="78" t="s">
        <v>34</v>
      </c>
      <c r="H24" s="78" t="s">
        <v>35</v>
      </c>
    </row>
    <row collapsed="false" customFormat="false" customHeight="false" hidden="false" ht="14.05" outlineLevel="0" r="25">
      <c r="A25" s="78"/>
      <c r="B25" s="78"/>
      <c r="C25" s="78" t="s">
        <v>79</v>
      </c>
      <c r="D25" s="78" t="s">
        <v>80</v>
      </c>
      <c r="E25" s="78" t="n">
        <v>10</v>
      </c>
      <c r="F25" s="78"/>
      <c r="G25" s="78" t="s">
        <v>34</v>
      </c>
      <c r="H25" s="78" t="s">
        <v>35</v>
      </c>
    </row>
    <row collapsed="false" customFormat="false" customHeight="false" hidden="false" ht="14.05" outlineLevel="0" r="26">
      <c r="A26" s="78"/>
      <c r="B26" s="78"/>
      <c r="C26" s="78" t="s">
        <v>81</v>
      </c>
      <c r="D26" s="78" t="s">
        <v>82</v>
      </c>
      <c r="E26" s="78" t="n">
        <v>2.5</v>
      </c>
      <c r="F26" s="78"/>
      <c r="G26" s="78" t="s">
        <v>34</v>
      </c>
      <c r="H26" s="78" t="s">
        <v>35</v>
      </c>
    </row>
    <row collapsed="false" customFormat="false" customHeight="false" hidden="false" ht="14.05" outlineLevel="0" r="27">
      <c r="A27" s="78"/>
      <c r="B27" s="78"/>
      <c r="C27" s="78" t="s">
        <v>83</v>
      </c>
      <c r="D27" s="78" t="s">
        <v>33</v>
      </c>
      <c r="E27" s="78" t="n">
        <v>5</v>
      </c>
      <c r="F27" s="78"/>
      <c r="G27" s="78" t="s">
        <v>34</v>
      </c>
      <c r="H27" s="78" t="s">
        <v>35</v>
      </c>
    </row>
    <row collapsed="false" customFormat="false" customHeight="false" hidden="false" ht="14.05" outlineLevel="0" r="28">
      <c r="C28" s="78" t="s">
        <v>84</v>
      </c>
      <c r="D28" s="78" t="s">
        <v>85</v>
      </c>
      <c r="E28" s="78" t="n">
        <v>3</v>
      </c>
      <c r="F28" s="78"/>
      <c r="G28" s="78" t="s">
        <v>34</v>
      </c>
      <c r="H28" s="78" t="s">
        <v>35</v>
      </c>
    </row>
  </sheetData>
  <hyperlinks>
    <hyperlink display="28117" ref="C2" r:id="rId1"/>
    <hyperlink display="28121" ref="C3" r:id="rId2"/>
    <hyperlink display="28124" ref="C4" r:id="rId3"/>
    <hyperlink display="28137" ref="C5" r:id="rId4"/>
    <hyperlink display="28139" ref="C6" r:id="rId5"/>
    <hyperlink display="28141" ref="C7" r:id="rId6"/>
    <hyperlink display="27974" ref="C8" r:id="rId7"/>
    <hyperlink display="27975" ref="C9" r:id="rId8"/>
    <hyperlink display="27983" ref="C10" r:id="rId9"/>
    <hyperlink display="28116" ref="C11" r:id="rId10"/>
    <hyperlink display="28132" ref="C12" r:id="rId11"/>
    <hyperlink display="28133" ref="C13" r:id="rId12"/>
    <hyperlink display="28134" ref="C14" r:id="rId13"/>
    <hyperlink display="28135" ref="C15" r:id="rId14"/>
    <hyperlink display="27967" ref="C16" r:id="rId15"/>
    <hyperlink display="27968" ref="C17" r:id="rId16"/>
    <hyperlink display="27969" ref="C18" r:id="rId17"/>
    <hyperlink display="27970" ref="C19" r:id="rId18"/>
    <hyperlink display="27971" ref="C20" r:id="rId19"/>
    <hyperlink display="27972" ref="C21" r:id="rId20"/>
    <hyperlink display="27980" ref="C22" r:id="rId21"/>
    <hyperlink display="27982" ref="C23" r:id="rId22"/>
    <hyperlink display="26522" ref="C24" r:id="rId23"/>
    <hyperlink display="26544" ref="C25" r:id="rId24"/>
    <hyperlink display="26545" ref="C26" r:id="rId25"/>
    <hyperlink display="26550" ref="C27" r:id="rId26"/>
    <hyperlink display="26552" ref="C28" r:id="rId27"/>
  </hyperlink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0" zoomScaleNormal="90" zoomScalePageLayoutView="100">
      <selection activeCell="A1" activeCellId="1" pane="topLeft" sqref="B4:F35 A1"/>
    </sheetView>
  </sheetViews>
  <sheetFormatPr defaultRowHeight="12.8"/>
  <cols>
    <col collapsed="false" hidden="false" max="1" min="1" style="0" width="15.9230769230769"/>
    <col collapsed="false" hidden="false" max="2" min="2" style="0" width="16.3684210526316"/>
    <col collapsed="false" hidden="false" max="3" min="3" style="0" width="39.9068825910931"/>
    <col collapsed="false" hidden="false" max="4" min="4" style="0" width="14.8906882591093"/>
    <col collapsed="false" hidden="false" max="5" min="5" style="0" width="18.0121457489879"/>
    <col collapsed="false" hidden="false" max="6" min="6" style="0" width="20.6882591093117"/>
    <col collapsed="false" hidden="false" max="7" min="7" style="0" width="23.3643724696356"/>
    <col collapsed="false" hidden="false" max="1025" min="8" style="0" width="8.89068825910931"/>
  </cols>
  <sheetData>
    <row collapsed="false" customFormat="false" customHeight="true" hidden="false" ht="13.3" outlineLevel="0" r="1">
      <c r="A1" s="0" t="s">
        <v>86</v>
      </c>
    </row>
    <row collapsed="false" customFormat="false" customHeight="true" hidden="false" ht="13.3" outlineLevel="0" r="2">
      <c r="A2" s="0" t="s">
        <v>28</v>
      </c>
      <c r="B2" s="0" t="s">
        <v>87</v>
      </c>
      <c r="C2" s="0" t="s">
        <v>29</v>
      </c>
      <c r="D2" s="0" t="s">
        <v>88</v>
      </c>
      <c r="E2" s="0" t="s">
        <v>89</v>
      </c>
      <c r="F2" s="0" t="s">
        <v>30</v>
      </c>
      <c r="G2" s="0" t="s">
        <v>90</v>
      </c>
    </row>
    <row collapsed="false" customFormat="false" customHeight="true" hidden="false" ht="13.3" outlineLevel="0" r="3">
      <c r="A3" s="0" t="n">
        <v>11470</v>
      </c>
      <c r="B3" s="0" t="s">
        <v>91</v>
      </c>
      <c r="C3" s="0" t="s">
        <v>92</v>
      </c>
      <c r="D3" s="0" t="s">
        <v>93</v>
      </c>
      <c r="E3" s="0" t="s">
        <v>94</v>
      </c>
      <c r="F3" s="0" t="n">
        <v>0.7</v>
      </c>
      <c r="G3" s="0" t="s">
        <v>95</v>
      </c>
    </row>
    <row collapsed="false" customFormat="false" customHeight="true" hidden="false" ht="18.65" outlineLevel="0" r="4">
      <c r="A4" s="0" t="n">
        <v>15426</v>
      </c>
      <c r="B4" s="0" t="s">
        <v>91</v>
      </c>
      <c r="C4" s="0" t="s">
        <v>96</v>
      </c>
      <c r="D4" s="0" t="s">
        <v>93</v>
      </c>
      <c r="E4" s="0" t="s">
        <v>94</v>
      </c>
      <c r="F4" s="0" t="n">
        <v>0.5</v>
      </c>
      <c r="G4" s="0" t="s">
        <v>97</v>
      </c>
    </row>
    <row collapsed="false" customFormat="false" customHeight="true" hidden="false" ht="18.65" outlineLevel="0" r="5">
      <c r="A5" s="0" t="n">
        <v>15548</v>
      </c>
      <c r="B5" s="0" t="s">
        <v>91</v>
      </c>
      <c r="C5" s="0" t="s">
        <v>98</v>
      </c>
      <c r="D5" s="0" t="s">
        <v>93</v>
      </c>
      <c r="E5" s="0" t="s">
        <v>94</v>
      </c>
      <c r="F5" s="0" t="n">
        <v>0.25</v>
      </c>
      <c r="G5" s="0" t="s">
        <v>97</v>
      </c>
    </row>
    <row collapsed="false" customFormat="false" customHeight="true" hidden="false" ht="18.65" outlineLevel="0" r="6">
      <c r="A6" s="0" t="n">
        <v>15556</v>
      </c>
      <c r="B6" s="0" t="s">
        <v>91</v>
      </c>
      <c r="C6" s="0" t="s">
        <v>99</v>
      </c>
      <c r="D6" s="0" t="s">
        <v>93</v>
      </c>
      <c r="E6" s="0" t="s">
        <v>94</v>
      </c>
      <c r="F6" s="0" t="n">
        <v>0.5</v>
      </c>
      <c r="G6" s="0" t="s">
        <v>97</v>
      </c>
    </row>
    <row collapsed="false" customFormat="false" customHeight="true" hidden="false" ht="18.65" outlineLevel="0" r="7">
      <c r="A7" s="0" t="n">
        <v>15558</v>
      </c>
      <c r="B7" s="0" t="s">
        <v>91</v>
      </c>
      <c r="C7" s="0" t="s">
        <v>100</v>
      </c>
      <c r="D7" s="0" t="s">
        <v>93</v>
      </c>
      <c r="E7" s="0" t="s">
        <v>94</v>
      </c>
      <c r="F7" s="0" t="n">
        <v>0.25</v>
      </c>
      <c r="G7" s="0" t="s">
        <v>97</v>
      </c>
    </row>
    <row collapsed="false" customFormat="false" customHeight="true" hidden="false" ht="18.65" outlineLevel="0" r="8">
      <c r="A8" s="0" t="n">
        <v>15560</v>
      </c>
      <c r="B8" s="0" t="s">
        <v>91</v>
      </c>
      <c r="C8" s="0" t="s">
        <v>101</v>
      </c>
      <c r="D8" s="0" t="s">
        <v>93</v>
      </c>
      <c r="E8" s="0" t="s">
        <v>94</v>
      </c>
      <c r="F8" s="0" t="n">
        <v>0.5</v>
      </c>
      <c r="G8" s="0" t="s">
        <v>97</v>
      </c>
    </row>
    <row collapsed="false" customFormat="false" customHeight="true" hidden="false" ht="18.65" outlineLevel="0" r="9">
      <c r="A9" s="0" t="n">
        <v>15563</v>
      </c>
      <c r="B9" s="0" t="s">
        <v>91</v>
      </c>
      <c r="C9" s="0" t="s">
        <v>102</v>
      </c>
      <c r="D9" s="0" t="s">
        <v>93</v>
      </c>
      <c r="E9" s="0" t="s">
        <v>94</v>
      </c>
      <c r="F9" s="0" t="n">
        <v>0.25</v>
      </c>
      <c r="G9" s="0" t="s">
        <v>97</v>
      </c>
    </row>
    <row collapsed="false" customFormat="false" customHeight="true" hidden="false" ht="13.3" outlineLevel="0" r="10">
      <c r="A10" s="0" t="n">
        <v>15564</v>
      </c>
      <c r="B10" s="0" t="s">
        <v>91</v>
      </c>
      <c r="C10" s="0" t="s">
        <v>103</v>
      </c>
      <c r="D10" s="0" t="s">
        <v>93</v>
      </c>
      <c r="E10" s="0" t="s">
        <v>94</v>
      </c>
      <c r="F10" s="0" t="n">
        <v>0.5</v>
      </c>
      <c r="G10" s="0" t="s">
        <v>95</v>
      </c>
    </row>
    <row collapsed="false" customFormat="false" customHeight="true" hidden="false" ht="13.3" outlineLevel="0" r="11">
      <c r="A11" s="0" t="n">
        <v>15570</v>
      </c>
      <c r="B11" s="0" t="s">
        <v>91</v>
      </c>
      <c r="C11" s="0" t="s">
        <v>104</v>
      </c>
      <c r="D11" s="0" t="s">
        <v>93</v>
      </c>
      <c r="E11" s="0" t="s">
        <v>94</v>
      </c>
      <c r="F11" s="0" t="n">
        <v>1</v>
      </c>
      <c r="G11" s="0" t="s">
        <v>95</v>
      </c>
    </row>
    <row collapsed="false" customFormat="false" customHeight="true" hidden="false" ht="13.3" outlineLevel="0" r="12">
      <c r="A12" s="0" t="n">
        <v>15571</v>
      </c>
      <c r="B12" s="0" t="s">
        <v>91</v>
      </c>
      <c r="C12" s="0" t="s">
        <v>105</v>
      </c>
      <c r="D12" s="0" t="s">
        <v>93</v>
      </c>
      <c r="E12" s="0" t="s">
        <v>94</v>
      </c>
      <c r="F12" s="0" t="n">
        <v>0.5</v>
      </c>
      <c r="G12" s="0" t="s">
        <v>95</v>
      </c>
    </row>
    <row collapsed="false" customFormat="false" customHeight="true" hidden="false" ht="13.3" outlineLevel="0" r="13">
      <c r="A13" s="0" t="n">
        <v>15572</v>
      </c>
      <c r="B13" s="0" t="s">
        <v>91</v>
      </c>
      <c r="C13" s="0" t="s">
        <v>106</v>
      </c>
      <c r="D13" s="0" t="s">
        <v>93</v>
      </c>
      <c r="E13" s="0" t="s">
        <v>94</v>
      </c>
      <c r="F13" s="0" t="n">
        <v>0.5</v>
      </c>
      <c r="G13" s="0" t="s">
        <v>95</v>
      </c>
    </row>
    <row collapsed="false" customFormat="false" customHeight="true" hidden="false" ht="13.3" outlineLevel="0" r="14">
      <c r="A14" s="0" t="n">
        <v>15578</v>
      </c>
      <c r="B14" s="0" t="s">
        <v>91</v>
      </c>
      <c r="C14" s="0" t="s">
        <v>107</v>
      </c>
      <c r="D14" s="0" t="s">
        <v>93</v>
      </c>
      <c r="E14" s="0" t="s">
        <v>94</v>
      </c>
      <c r="F14" s="0" t="n">
        <v>0.75</v>
      </c>
      <c r="G14" s="0" t="s">
        <v>95</v>
      </c>
    </row>
    <row collapsed="false" customFormat="false" customHeight="true" hidden="false" ht="13.3" outlineLevel="0" r="15">
      <c r="A15" s="0" t="n">
        <v>15598</v>
      </c>
      <c r="B15" s="0" t="s">
        <v>91</v>
      </c>
      <c r="C15" s="0" t="s">
        <v>108</v>
      </c>
      <c r="D15" s="0" t="s">
        <v>93</v>
      </c>
      <c r="E15" s="0" t="s">
        <v>94</v>
      </c>
      <c r="F15" s="0" t="n">
        <v>0.25</v>
      </c>
      <c r="G15" s="0" t="s">
        <v>95</v>
      </c>
    </row>
    <row collapsed="false" customFormat="false" customHeight="true" hidden="false" ht="18.65" outlineLevel="0" r="16">
      <c r="A16" s="0" t="n">
        <v>15599</v>
      </c>
      <c r="B16" s="0" t="s">
        <v>91</v>
      </c>
      <c r="C16" s="0" t="s">
        <v>109</v>
      </c>
      <c r="D16" s="0" t="s">
        <v>93</v>
      </c>
      <c r="E16" s="0" t="s">
        <v>94</v>
      </c>
      <c r="F16" s="0" t="n">
        <v>0.5</v>
      </c>
      <c r="G16" s="0" t="s">
        <v>97</v>
      </c>
    </row>
    <row collapsed="false" customFormat="false" customHeight="true" hidden="false" ht="18.65" outlineLevel="0" r="17">
      <c r="A17" s="0" t="n">
        <v>15600</v>
      </c>
      <c r="B17" s="0" t="s">
        <v>91</v>
      </c>
      <c r="C17" s="0" t="s">
        <v>110</v>
      </c>
      <c r="D17" s="0" t="s">
        <v>93</v>
      </c>
      <c r="E17" s="0" t="s">
        <v>94</v>
      </c>
      <c r="F17" s="0" t="n">
        <v>0.5</v>
      </c>
      <c r="G17" s="0" t="s">
        <v>97</v>
      </c>
    </row>
    <row collapsed="false" customFormat="false" customHeight="true" hidden="false" ht="13.3" outlineLevel="0" r="18">
      <c r="A18" s="0" t="n">
        <v>15595</v>
      </c>
      <c r="B18" s="0" t="s">
        <v>91</v>
      </c>
      <c r="C18" s="0" t="s">
        <v>111</v>
      </c>
      <c r="D18" s="0" t="s">
        <v>93</v>
      </c>
      <c r="E18" s="0" t="s">
        <v>94</v>
      </c>
      <c r="F18" s="0" t="n">
        <v>0.5</v>
      </c>
      <c r="G18" s="0" t="s">
        <v>95</v>
      </c>
    </row>
    <row collapsed="false" customFormat="false" customHeight="true" hidden="false" ht="13.3" outlineLevel="0" r="19">
      <c r="A19" s="0" t="n">
        <v>15596</v>
      </c>
      <c r="B19" s="0" t="s">
        <v>91</v>
      </c>
      <c r="C19" s="0" t="s">
        <v>112</v>
      </c>
      <c r="D19" s="0" t="s">
        <v>93</v>
      </c>
      <c r="E19" s="0" t="s">
        <v>94</v>
      </c>
      <c r="F19" s="0" t="n">
        <v>1</v>
      </c>
      <c r="G19" s="0" t="s">
        <v>95</v>
      </c>
    </row>
    <row collapsed="false" customFormat="false" customHeight="true" hidden="false" ht="18.65" outlineLevel="0" r="20">
      <c r="A20" s="0" t="n">
        <v>15609</v>
      </c>
      <c r="B20" s="0" t="s">
        <v>91</v>
      </c>
      <c r="C20" s="0" t="s">
        <v>113</v>
      </c>
      <c r="D20" s="0" t="s">
        <v>93</v>
      </c>
      <c r="E20" s="0" t="s">
        <v>94</v>
      </c>
      <c r="F20" s="0" t="n">
        <v>0.25</v>
      </c>
      <c r="G20" s="0" t="s">
        <v>114</v>
      </c>
    </row>
    <row collapsed="false" customFormat="false" customHeight="true" hidden="false" ht="13.3" outlineLevel="0" r="21">
      <c r="A21" s="0" t="n">
        <v>15615</v>
      </c>
      <c r="B21" s="0" t="s">
        <v>91</v>
      </c>
      <c r="C21" s="0" t="s">
        <v>115</v>
      </c>
      <c r="D21" s="0" t="s">
        <v>93</v>
      </c>
      <c r="E21" s="0" t="s">
        <v>94</v>
      </c>
      <c r="F21" s="0" t="n">
        <v>0.25</v>
      </c>
      <c r="G21" s="0" t="s">
        <v>95</v>
      </c>
    </row>
    <row collapsed="false" customFormat="false" customHeight="true" hidden="false" ht="18.65" outlineLevel="0" r="22">
      <c r="A22" s="0" t="n">
        <v>15621</v>
      </c>
      <c r="B22" s="0" t="s">
        <v>91</v>
      </c>
      <c r="C22" s="0" t="s">
        <v>116</v>
      </c>
      <c r="D22" s="0" t="s">
        <v>93</v>
      </c>
      <c r="E22" s="0" t="s">
        <v>94</v>
      </c>
      <c r="F22" s="0" t="n">
        <v>1</v>
      </c>
      <c r="G22" s="0" t="s">
        <v>97</v>
      </c>
    </row>
    <row collapsed="false" customFormat="false" customHeight="true" hidden="false" ht="18.65" outlineLevel="0" r="23">
      <c r="A23" s="0" t="n">
        <v>15624</v>
      </c>
      <c r="B23" s="0" t="s">
        <v>91</v>
      </c>
      <c r="C23" s="0" t="s">
        <v>117</v>
      </c>
      <c r="D23" s="0" t="s">
        <v>93</v>
      </c>
      <c r="E23" s="0" t="s">
        <v>94</v>
      </c>
      <c r="F23" s="0" t="n">
        <v>1</v>
      </c>
      <c r="G23" s="0" t="s">
        <v>97</v>
      </c>
    </row>
    <row collapsed="false" customFormat="false" customHeight="true" hidden="false" ht="18.65" outlineLevel="0" r="24">
      <c r="A24" s="0" t="n">
        <v>15625</v>
      </c>
      <c r="B24" s="0" t="s">
        <v>91</v>
      </c>
      <c r="C24" s="0" t="s">
        <v>118</v>
      </c>
      <c r="D24" s="0" t="s">
        <v>93</v>
      </c>
      <c r="E24" s="0" t="s">
        <v>94</v>
      </c>
      <c r="F24" s="0" t="n">
        <v>0.5</v>
      </c>
      <c r="G24" s="0" t="s">
        <v>97</v>
      </c>
    </row>
    <row collapsed="false" customFormat="false" customHeight="true" hidden="false" ht="18.65" outlineLevel="0" r="25">
      <c r="A25" s="0" t="n">
        <v>15630</v>
      </c>
      <c r="B25" s="0" t="s">
        <v>91</v>
      </c>
      <c r="C25" s="0" t="s">
        <v>119</v>
      </c>
      <c r="D25" s="0" t="s">
        <v>93</v>
      </c>
      <c r="E25" s="0" t="s">
        <v>94</v>
      </c>
      <c r="F25" s="0" t="n">
        <v>0.25</v>
      </c>
      <c r="G25" s="0" t="s">
        <v>97</v>
      </c>
    </row>
    <row collapsed="false" customFormat="false" customHeight="true" hidden="false" ht="18.65" outlineLevel="0" r="26">
      <c r="A26" s="0" t="n">
        <v>15631</v>
      </c>
      <c r="B26" s="0" t="s">
        <v>91</v>
      </c>
      <c r="C26" s="0" t="s">
        <v>120</v>
      </c>
      <c r="D26" s="0" t="s">
        <v>93</v>
      </c>
      <c r="E26" s="0" t="s">
        <v>94</v>
      </c>
      <c r="F26" s="0" t="n">
        <v>0.5</v>
      </c>
      <c r="G26" s="0" t="s">
        <v>97</v>
      </c>
    </row>
    <row collapsed="false" customFormat="false" customHeight="true" hidden="false" ht="18.65" outlineLevel="0" r="27">
      <c r="A27" s="0" t="n">
        <v>15655</v>
      </c>
      <c r="B27" s="0" t="s">
        <v>91</v>
      </c>
      <c r="C27" s="0" t="s">
        <v>121</v>
      </c>
      <c r="D27" s="0" t="s">
        <v>93</v>
      </c>
      <c r="E27" s="0" t="s">
        <v>94</v>
      </c>
      <c r="F27" s="0" t="n">
        <v>0.25</v>
      </c>
      <c r="G27" s="0" t="s">
        <v>97</v>
      </c>
    </row>
    <row collapsed="false" customFormat="false" customHeight="true" hidden="false" ht="18.65" outlineLevel="0" r="28">
      <c r="A28" s="0" t="n">
        <v>15628</v>
      </c>
      <c r="B28" s="0" t="s">
        <v>91</v>
      </c>
      <c r="C28" s="0" t="s">
        <v>122</v>
      </c>
      <c r="D28" s="0" t="s">
        <v>93</v>
      </c>
      <c r="E28" s="0" t="s">
        <v>94</v>
      </c>
      <c r="F28" s="0" t="n">
        <v>0.5</v>
      </c>
      <c r="G28" s="0" t="s">
        <v>97</v>
      </c>
    </row>
    <row collapsed="false" customFormat="false" customHeight="true" hidden="false" ht="18.65" outlineLevel="0" r="29">
      <c r="A29" s="0" t="n">
        <v>15800</v>
      </c>
      <c r="B29" s="0" t="s">
        <v>91</v>
      </c>
      <c r="C29" s="0" t="s">
        <v>123</v>
      </c>
      <c r="D29" s="0" t="s">
        <v>93</v>
      </c>
      <c r="E29" s="0" t="s">
        <v>94</v>
      </c>
      <c r="F29" s="0" t="n">
        <v>1</v>
      </c>
      <c r="G29" s="0" t="s">
        <v>95</v>
      </c>
    </row>
    <row collapsed="false" customFormat="false" customHeight="true" hidden="false" ht="18.65" outlineLevel="0" r="30">
      <c r="A30" s="0" t="n">
        <v>15802</v>
      </c>
      <c r="B30" s="0" t="s">
        <v>91</v>
      </c>
      <c r="C30" s="0" t="s">
        <v>124</v>
      </c>
      <c r="D30" s="0" t="s">
        <v>93</v>
      </c>
      <c r="E30" s="0" t="s">
        <v>94</v>
      </c>
      <c r="F30" s="0" t="n">
        <v>0.75</v>
      </c>
      <c r="G30" s="0" t="s">
        <v>95</v>
      </c>
    </row>
    <row collapsed="false" customFormat="false" customHeight="true" hidden="false" ht="18.65" outlineLevel="0" r="31">
      <c r="A31" s="0" t="n">
        <v>15810</v>
      </c>
      <c r="B31" s="0" t="s">
        <v>91</v>
      </c>
      <c r="C31" s="0" t="s">
        <v>125</v>
      </c>
      <c r="D31" s="0" t="s">
        <v>93</v>
      </c>
      <c r="E31" s="0" t="s">
        <v>94</v>
      </c>
      <c r="F31" s="0" t="n">
        <v>1.25</v>
      </c>
      <c r="G31" s="0" t="s">
        <v>95</v>
      </c>
    </row>
    <row collapsed="false" customFormat="false" customHeight="true" hidden="false" ht="18.65" outlineLevel="0" r="32">
      <c r="A32" s="0" t="n">
        <v>15949</v>
      </c>
      <c r="B32" s="0" t="s">
        <v>91</v>
      </c>
      <c r="C32" s="0" t="s">
        <v>126</v>
      </c>
      <c r="D32" s="0" t="s">
        <v>93</v>
      </c>
      <c r="E32" s="0" t="s">
        <v>94</v>
      </c>
      <c r="F32" s="0" t="n">
        <v>1.5</v>
      </c>
      <c r="G32" s="0" t="s">
        <v>97</v>
      </c>
    </row>
    <row collapsed="false" customFormat="false" customHeight="true" hidden="false" ht="18.65" outlineLevel="0" r="33">
      <c r="A33" s="0" t="n">
        <v>15950</v>
      </c>
      <c r="B33" s="0" t="s">
        <v>91</v>
      </c>
      <c r="C33" s="0" t="s">
        <v>127</v>
      </c>
      <c r="D33" s="0" t="s">
        <v>93</v>
      </c>
      <c r="E33" s="0" t="s">
        <v>94</v>
      </c>
      <c r="F33" s="0" t="n">
        <v>0</v>
      </c>
      <c r="G33" s="0" t="s">
        <v>97</v>
      </c>
    </row>
    <row collapsed="false" customFormat="false" customHeight="true" hidden="false" ht="18.65" outlineLevel="0" r="34">
      <c r="A34" s="0" t="n">
        <v>15951</v>
      </c>
      <c r="B34" s="0" t="s">
        <v>91</v>
      </c>
      <c r="C34" s="0" t="s">
        <v>128</v>
      </c>
      <c r="D34" s="0" t="s">
        <v>93</v>
      </c>
      <c r="E34" s="0" t="s">
        <v>94</v>
      </c>
      <c r="F34" s="0" t="n">
        <v>0</v>
      </c>
      <c r="G34" s="0" t="s">
        <v>97</v>
      </c>
    </row>
    <row collapsed="false" customFormat="false" customHeight="true" hidden="false" ht="18.65" outlineLevel="0" r="35">
      <c r="A35" s="0" t="n">
        <v>15952</v>
      </c>
      <c r="B35" s="0" t="s">
        <v>91</v>
      </c>
      <c r="C35" s="0" t="s">
        <v>129</v>
      </c>
      <c r="D35" s="0" t="s">
        <v>93</v>
      </c>
      <c r="E35" s="0" t="s">
        <v>94</v>
      </c>
      <c r="F35" s="0" t="n">
        <v>0.5</v>
      </c>
      <c r="G35" s="0" t="s">
        <v>97</v>
      </c>
    </row>
    <row collapsed="false" customFormat="false" customHeight="true" hidden="false" ht="18.65" outlineLevel="0" r="36">
      <c r="A36" s="0" t="n">
        <v>15953</v>
      </c>
      <c r="B36" s="0" t="s">
        <v>91</v>
      </c>
      <c r="C36" s="0" t="s">
        <v>130</v>
      </c>
      <c r="D36" s="0" t="s">
        <v>93</v>
      </c>
      <c r="E36" s="0" t="s">
        <v>94</v>
      </c>
      <c r="F36" s="0" t="n">
        <v>0</v>
      </c>
      <c r="G36" s="0" t="s">
        <v>97</v>
      </c>
    </row>
    <row collapsed="false" customFormat="false" customHeight="true" hidden="false" ht="18.65" outlineLevel="0" r="37">
      <c r="A37" s="0" t="n">
        <v>15962</v>
      </c>
      <c r="B37" s="0" t="s">
        <v>91</v>
      </c>
      <c r="C37" s="0" t="s">
        <v>131</v>
      </c>
      <c r="D37" s="0" t="s">
        <v>93</v>
      </c>
      <c r="E37" s="0" t="s">
        <v>94</v>
      </c>
      <c r="F37" s="0" t="n">
        <v>0</v>
      </c>
      <c r="G37" s="0" t="s">
        <v>97</v>
      </c>
    </row>
    <row collapsed="false" customFormat="false" customHeight="true" hidden="false" ht="18.65" outlineLevel="0" r="38">
      <c r="A38" s="0" t="n">
        <v>15963</v>
      </c>
      <c r="B38" s="0" t="s">
        <v>91</v>
      </c>
      <c r="C38" s="0" t="s">
        <v>132</v>
      </c>
      <c r="D38" s="0" t="s">
        <v>93</v>
      </c>
      <c r="E38" s="0" t="s">
        <v>94</v>
      </c>
      <c r="F38" s="0" t="n">
        <v>0</v>
      </c>
      <c r="G38" s="0" t="s">
        <v>97</v>
      </c>
    </row>
    <row collapsed="false" customFormat="false" customHeight="true" hidden="false" ht="18.65" outlineLevel="0" r="39">
      <c r="A39" s="0" t="n">
        <v>15964</v>
      </c>
      <c r="B39" s="0" t="s">
        <v>91</v>
      </c>
      <c r="C39" s="0" t="s">
        <v>133</v>
      </c>
      <c r="D39" s="0" t="s">
        <v>93</v>
      </c>
      <c r="E39" s="0" t="s">
        <v>94</v>
      </c>
      <c r="F39" s="0" t="n">
        <v>0</v>
      </c>
      <c r="G39" s="0" t="s">
        <v>97</v>
      </c>
    </row>
    <row collapsed="false" customFormat="false" customHeight="true" hidden="false" ht="18.65" outlineLevel="0" r="40">
      <c r="A40" s="0" t="n">
        <v>15965</v>
      </c>
      <c r="B40" s="0" t="s">
        <v>91</v>
      </c>
      <c r="C40" s="0" t="s">
        <v>134</v>
      </c>
      <c r="D40" s="0" t="s">
        <v>93</v>
      </c>
      <c r="E40" s="0" t="s">
        <v>94</v>
      </c>
      <c r="F40" s="0" t="n">
        <v>1</v>
      </c>
      <c r="G40" s="0" t="s">
        <v>97</v>
      </c>
    </row>
    <row collapsed="false" customFormat="false" customHeight="true" hidden="false" ht="13.3" outlineLevel="0" r="41">
      <c r="A41" s="0" t="n">
        <v>15980</v>
      </c>
      <c r="B41" s="0" t="s">
        <v>91</v>
      </c>
      <c r="C41" s="0" t="s">
        <v>135</v>
      </c>
      <c r="D41" s="0" t="s">
        <v>93</v>
      </c>
      <c r="E41" s="0" t="s">
        <v>94</v>
      </c>
      <c r="F41" s="0" t="n">
        <v>1</v>
      </c>
      <c r="G41" s="0" t="s">
        <v>93</v>
      </c>
    </row>
    <row collapsed="false" customFormat="false" customHeight="true" hidden="false" ht="13.3" outlineLevel="0" r="42">
      <c r="F42" s="79" t="n">
        <f aca="false">SUM(F3:F41)</f>
        <v>20.45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N38"/>
  <sheetViews>
    <sheetView colorId="64" defaultGridColor="true" rightToLeft="false" showFormulas="false" showGridLines="true" showOutlineSymbols="true" showRowColHeaders="true" showZeros="true" tabSelected="true" topLeftCell="A4" view="normal" windowProtection="false" workbookViewId="0" zoomScale="90" zoomScaleNormal="90" zoomScalePageLayoutView="100">
      <selection activeCell="B4" activeCellId="0" pane="topLeft" sqref="B4:F35"/>
    </sheetView>
  </sheetViews>
  <sheetFormatPr defaultRowHeight="12.8"/>
  <cols>
    <col collapsed="false" hidden="false" max="2" min="1" style="0" width="5.50607287449393"/>
    <col collapsed="false" hidden="false" max="3" min="3" style="0" width="11.7692307692308"/>
    <col collapsed="false" hidden="false" max="4" min="4" style="0" width="11.1538461538462"/>
    <col collapsed="false" hidden="false" max="5" min="5" style="0" width="11.7692307692308"/>
    <col collapsed="false" hidden="false" max="6" min="6" style="0" width="11.6032388663968"/>
    <col collapsed="false" hidden="true" max="7" min="7" style="0" width="0"/>
    <col collapsed="false" hidden="false" max="8" min="8" style="0" width="10.1417004048583"/>
    <col collapsed="false" hidden="false" max="9" min="9" style="0" width="10.8623481781377"/>
    <col collapsed="false" hidden="false" max="10" min="10" style="0" width="13.1052631578947"/>
    <col collapsed="false" hidden="false" max="11" min="11" style="0" width="6.71255060728745"/>
    <col collapsed="false" hidden="false" max="12" min="12" style="0" width="9.54655870445344"/>
    <col collapsed="false" hidden="false" max="13" min="13" style="0" width="23.8178137651822"/>
    <col collapsed="false" hidden="false" max="256" min="14" style="0" width="9.54655870445344"/>
    <col collapsed="false" hidden="false" max="258" min="257" style="0" width="5.50607287449393"/>
    <col collapsed="false" hidden="false" max="259" min="259" style="0" width="11.7692307692308"/>
    <col collapsed="false" hidden="false" max="260" min="260" style="0" width="11.1538461538462"/>
    <col collapsed="false" hidden="false" max="261" min="261" style="0" width="11.7692307692308"/>
    <col collapsed="false" hidden="false" max="262" min="262" style="0" width="11.6032388663968"/>
    <col collapsed="false" hidden="true" max="263" min="263" style="0" width="0"/>
    <col collapsed="false" hidden="false" max="264" min="264" style="0" width="10.1417004048583"/>
    <col collapsed="false" hidden="false" max="265" min="265" style="0" width="10.8623481781377"/>
    <col collapsed="false" hidden="false" max="266" min="266" style="0" width="13.1052631578947"/>
    <col collapsed="false" hidden="false" max="267" min="267" style="0" width="6.71255060728745"/>
    <col collapsed="false" hidden="false" max="268" min="268" style="0" width="9.54655870445344"/>
    <col collapsed="false" hidden="false" max="269" min="269" style="0" width="23.8178137651822"/>
    <col collapsed="false" hidden="false" max="512" min="270" style="0" width="9.54655870445344"/>
    <col collapsed="false" hidden="false" max="514" min="513" style="0" width="5.50607287449393"/>
    <col collapsed="false" hidden="false" max="515" min="515" style="0" width="11.7692307692308"/>
    <col collapsed="false" hidden="false" max="516" min="516" style="0" width="11.1538461538462"/>
    <col collapsed="false" hidden="false" max="517" min="517" style="0" width="11.7692307692308"/>
    <col collapsed="false" hidden="false" max="518" min="518" style="0" width="11.6032388663968"/>
    <col collapsed="false" hidden="true" max="519" min="519" style="0" width="0"/>
    <col collapsed="false" hidden="false" max="520" min="520" style="0" width="10.1417004048583"/>
    <col collapsed="false" hidden="false" max="521" min="521" style="0" width="10.8623481781377"/>
    <col collapsed="false" hidden="false" max="522" min="522" style="0" width="13.1052631578947"/>
    <col collapsed="false" hidden="false" max="523" min="523" style="0" width="6.71255060728745"/>
    <col collapsed="false" hidden="false" max="524" min="524" style="0" width="9.54655870445344"/>
    <col collapsed="false" hidden="false" max="525" min="525" style="0" width="23.8178137651822"/>
    <col collapsed="false" hidden="false" max="768" min="526" style="0" width="9.54655870445344"/>
    <col collapsed="false" hidden="false" max="770" min="769" style="0" width="5.50607287449393"/>
    <col collapsed="false" hidden="false" max="771" min="771" style="0" width="11.7692307692308"/>
    <col collapsed="false" hidden="false" max="772" min="772" style="0" width="11.1538461538462"/>
    <col collapsed="false" hidden="false" max="773" min="773" style="0" width="11.7692307692308"/>
    <col collapsed="false" hidden="false" max="774" min="774" style="0" width="11.6032388663968"/>
    <col collapsed="false" hidden="true" max="775" min="775" style="0" width="0"/>
    <col collapsed="false" hidden="false" max="776" min="776" style="0" width="10.1417004048583"/>
    <col collapsed="false" hidden="false" max="777" min="777" style="0" width="10.8623481781377"/>
    <col collapsed="false" hidden="false" max="778" min="778" style="0" width="13.1052631578947"/>
    <col collapsed="false" hidden="false" max="779" min="779" style="0" width="6.71255060728745"/>
    <col collapsed="false" hidden="false" max="780" min="780" style="0" width="9.54655870445344"/>
    <col collapsed="false" hidden="false" max="781" min="781" style="0" width="23.8178137651822"/>
    <col collapsed="false" hidden="false" max="1025" min="782" style="0" width="9.54655870445344"/>
  </cols>
  <sheetData>
    <row collapsed="false" customFormat="false" customHeight="true" hidden="false" ht="31.5" outlineLevel="0" r="2">
      <c r="A2" s="80" t="s">
        <v>136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collapsed="false" customFormat="false" customHeight="true" hidden="false" ht="26.5" outlineLevel="0" r="3">
      <c r="A3" s="2"/>
      <c r="B3" s="81" t="s">
        <v>137</v>
      </c>
      <c r="C3" s="81" t="s">
        <v>138</v>
      </c>
      <c r="D3" s="81" t="s">
        <v>139</v>
      </c>
      <c r="E3" s="81" t="s">
        <v>140</v>
      </c>
      <c r="F3" s="81" t="s">
        <v>141</v>
      </c>
      <c r="G3" s="2"/>
      <c r="H3" s="2"/>
    </row>
    <row collapsed="false" customFormat="false" customHeight="true" hidden="false" ht="13.7" outlineLevel="0" r="4">
      <c r="A4" s="2"/>
      <c r="B4" s="82" t="n">
        <v>123</v>
      </c>
      <c r="C4" s="82" t="s">
        <v>136</v>
      </c>
      <c r="D4" s="82" t="s">
        <v>142</v>
      </c>
      <c r="E4" s="82"/>
      <c r="F4" s="82"/>
      <c r="G4" s="2"/>
      <c r="H4" s="2"/>
    </row>
    <row collapsed="false" customFormat="false" customHeight="true" hidden="false" ht="13.7" outlineLevel="0" r="5">
      <c r="A5" s="2"/>
      <c r="B5" s="82" t="n">
        <v>123</v>
      </c>
      <c r="C5" s="82" t="s">
        <v>136</v>
      </c>
      <c r="D5" s="82" t="s">
        <v>143</v>
      </c>
      <c r="E5" s="82"/>
      <c r="F5" s="82"/>
      <c r="G5" s="2"/>
      <c r="H5" s="2"/>
    </row>
    <row collapsed="false" customFormat="false" customHeight="true" hidden="false" ht="13.7" outlineLevel="0" r="6">
      <c r="A6" s="2"/>
      <c r="B6" s="82" t="n">
        <v>123</v>
      </c>
      <c r="C6" s="82" t="s">
        <v>136</v>
      </c>
      <c r="D6" s="82" t="s">
        <v>144</v>
      </c>
      <c r="E6" s="82"/>
      <c r="F6" s="82"/>
      <c r="G6" s="2"/>
      <c r="H6" s="2"/>
    </row>
    <row collapsed="false" customFormat="false" customHeight="true" hidden="false" ht="13.7" outlineLevel="0" r="7">
      <c r="A7" s="2"/>
      <c r="B7" s="82" t="n">
        <v>123</v>
      </c>
      <c r="C7" s="82" t="s">
        <v>136</v>
      </c>
      <c r="D7" s="82" t="s">
        <v>145</v>
      </c>
      <c r="E7" s="83" t="n">
        <v>0.350439814814815</v>
      </c>
      <c r="F7" s="83" t="n">
        <v>0.70619212962963</v>
      </c>
      <c r="G7" s="2"/>
      <c r="H7" s="2"/>
    </row>
    <row collapsed="false" customFormat="false" customHeight="true" hidden="false" ht="13.7" outlineLevel="0" r="8">
      <c r="A8" s="2"/>
      <c r="B8" s="82" t="n">
        <v>123</v>
      </c>
      <c r="C8" s="82" t="s">
        <v>136</v>
      </c>
      <c r="D8" s="82" t="s">
        <v>146</v>
      </c>
      <c r="E8" s="83" t="n">
        <v>0.444074074074074</v>
      </c>
      <c r="F8" s="83" t="n">
        <v>0.772719907407407</v>
      </c>
      <c r="G8" s="2"/>
      <c r="H8" s="2"/>
    </row>
    <row collapsed="false" customFormat="false" customHeight="true" hidden="false" ht="13.7" outlineLevel="0" r="9">
      <c r="A9" s="2"/>
      <c r="B9" s="82" t="n">
        <v>123</v>
      </c>
      <c r="C9" s="82" t="s">
        <v>136</v>
      </c>
      <c r="D9" s="82" t="s">
        <v>147</v>
      </c>
      <c r="E9" s="83" t="n">
        <v>0.409861111111111</v>
      </c>
      <c r="F9" s="82"/>
      <c r="G9" s="2"/>
      <c r="H9" s="2"/>
    </row>
    <row collapsed="false" customFormat="false" customHeight="true" hidden="false" ht="13.7" outlineLevel="0" r="10">
      <c r="A10" s="2"/>
      <c r="B10" s="82" t="n">
        <v>123</v>
      </c>
      <c r="C10" s="82" t="s">
        <v>136</v>
      </c>
      <c r="D10" s="84" t="n">
        <v>41279</v>
      </c>
      <c r="E10" s="82"/>
      <c r="F10" s="82"/>
      <c r="G10" s="2"/>
      <c r="H10" s="2"/>
    </row>
    <row collapsed="false" customFormat="false" customHeight="true" hidden="false" ht="13.7" outlineLevel="0" r="11">
      <c r="A11" s="2"/>
      <c r="B11" s="82" t="n">
        <v>123</v>
      </c>
      <c r="C11" s="82" t="s">
        <v>136</v>
      </c>
      <c r="D11" s="84" t="n">
        <v>41310</v>
      </c>
      <c r="E11" s="82"/>
      <c r="F11" s="82"/>
      <c r="G11" s="2"/>
      <c r="H11" s="2"/>
    </row>
    <row collapsed="false" customFormat="false" customHeight="true" hidden="false" ht="13.7" outlineLevel="0" r="12">
      <c r="A12" s="2"/>
      <c r="B12" s="82" t="n">
        <v>123</v>
      </c>
      <c r="C12" s="82" t="s">
        <v>136</v>
      </c>
      <c r="D12" s="84" t="n">
        <v>41338</v>
      </c>
      <c r="E12" s="82"/>
      <c r="F12" s="82"/>
      <c r="G12" s="2"/>
      <c r="H12" s="2"/>
    </row>
    <row collapsed="false" customFormat="false" customHeight="true" hidden="false" ht="13.7" outlineLevel="0" r="13">
      <c r="A13" s="2"/>
      <c r="B13" s="82" t="n">
        <v>123</v>
      </c>
      <c r="C13" s="82" t="s">
        <v>136</v>
      </c>
      <c r="D13" s="84" t="n">
        <v>41369</v>
      </c>
      <c r="E13" s="82"/>
      <c r="F13" s="82"/>
      <c r="G13" s="2"/>
      <c r="H13" s="2"/>
    </row>
    <row collapsed="false" customFormat="false" customHeight="true" hidden="false" ht="13.7" outlineLevel="0" r="14">
      <c r="A14" s="2"/>
      <c r="B14" s="82" t="n">
        <v>123</v>
      </c>
      <c r="C14" s="82" t="s">
        <v>136</v>
      </c>
      <c r="D14" s="84" t="n">
        <v>41399</v>
      </c>
      <c r="E14" s="82"/>
      <c r="F14" s="82"/>
      <c r="G14" s="2"/>
      <c r="H14" s="2"/>
    </row>
    <row collapsed="false" customFormat="false" customHeight="true" hidden="false" ht="13.7" outlineLevel="0" r="15">
      <c r="A15" s="2"/>
      <c r="B15" s="82" t="n">
        <v>123</v>
      </c>
      <c r="C15" s="82" t="s">
        <v>136</v>
      </c>
      <c r="D15" s="84" t="n">
        <v>41430</v>
      </c>
      <c r="E15" s="82"/>
      <c r="F15" s="82"/>
      <c r="G15" s="2"/>
      <c r="H15" s="2"/>
    </row>
    <row collapsed="false" customFormat="false" customHeight="true" hidden="false" ht="13.7" outlineLevel="0" r="16">
      <c r="A16" s="2"/>
      <c r="B16" s="82" t="n">
        <v>123</v>
      </c>
      <c r="C16" s="82" t="s">
        <v>136</v>
      </c>
      <c r="D16" s="84" t="n">
        <v>41460</v>
      </c>
      <c r="E16" s="83" t="n">
        <v>0.408356481481482</v>
      </c>
      <c r="F16" s="83" t="n">
        <v>0.765231481481481</v>
      </c>
      <c r="G16" s="2" t="s">
        <v>148</v>
      </c>
      <c r="H16" s="2"/>
    </row>
    <row collapsed="false" customFormat="false" customHeight="true" hidden="false" ht="13.7" outlineLevel="0" r="17">
      <c r="A17" s="2"/>
      <c r="B17" s="82" t="n">
        <v>123</v>
      </c>
      <c r="C17" s="82" t="s">
        <v>136</v>
      </c>
      <c r="D17" s="84" t="n">
        <v>41491</v>
      </c>
      <c r="E17" s="83" t="n">
        <v>0.412418981481481</v>
      </c>
      <c r="F17" s="83" t="n">
        <v>0.772118055555556</v>
      </c>
      <c r="G17" s="2"/>
      <c r="H17" s="2"/>
    </row>
    <row collapsed="false" customFormat="false" customHeight="true" hidden="false" ht="13.7" outlineLevel="0" r="18">
      <c r="A18" s="2"/>
      <c r="B18" s="82" t="n">
        <v>123</v>
      </c>
      <c r="C18" s="82" t="s">
        <v>136</v>
      </c>
      <c r="D18" s="84" t="n">
        <v>41522</v>
      </c>
      <c r="E18" s="83" t="n">
        <v>0.41162037037037</v>
      </c>
      <c r="F18" s="83" t="n">
        <v>0.768854166666667</v>
      </c>
      <c r="G18" s="85" t="s">
        <v>149</v>
      </c>
      <c r="H18" s="2"/>
    </row>
    <row collapsed="false" customFormat="false" customHeight="true" hidden="false" ht="13.7" outlineLevel="0" r="19">
      <c r="A19" s="2"/>
      <c r="B19" s="82" t="n">
        <v>123</v>
      </c>
      <c r="C19" s="82" t="s">
        <v>136</v>
      </c>
      <c r="D19" s="84" t="n">
        <v>41552</v>
      </c>
      <c r="E19" s="82"/>
      <c r="F19" s="82"/>
      <c r="G19" s="85" t="s">
        <v>150</v>
      </c>
      <c r="H19" s="2"/>
    </row>
    <row collapsed="false" customFormat="false" customHeight="true" hidden="false" ht="13.7" outlineLevel="0" r="20">
      <c r="A20" s="2"/>
      <c r="B20" s="82" t="n">
        <v>123</v>
      </c>
      <c r="C20" s="82" t="s">
        <v>136</v>
      </c>
      <c r="D20" s="84" t="n">
        <v>41583</v>
      </c>
      <c r="E20" s="82"/>
      <c r="F20" s="82"/>
      <c r="G20" s="2" t="s">
        <v>151</v>
      </c>
      <c r="H20" s="2"/>
    </row>
    <row collapsed="false" customFormat="false" customHeight="true" hidden="false" ht="13.7" outlineLevel="0" r="21">
      <c r="A21" s="2"/>
      <c r="B21" s="82" t="n">
        <v>123</v>
      </c>
      <c r="C21" s="82" t="s">
        <v>136</v>
      </c>
      <c r="D21" s="84" t="n">
        <v>41613</v>
      </c>
      <c r="E21" s="83" t="n">
        <v>0.402986111111111</v>
      </c>
      <c r="F21" s="83" t="n">
        <v>0.764872685185185</v>
      </c>
      <c r="G21" s="2"/>
      <c r="H21" s="2"/>
    </row>
    <row collapsed="false" customFormat="false" customHeight="true" hidden="false" ht="13.7" outlineLevel="0" r="22">
      <c r="A22" s="2"/>
      <c r="B22" s="82" t="n">
        <v>123</v>
      </c>
      <c r="C22" s="82" t="s">
        <v>136</v>
      </c>
      <c r="D22" s="82" t="s">
        <v>152</v>
      </c>
      <c r="E22" s="83" t="n">
        <v>0.415324074074074</v>
      </c>
      <c r="F22" s="83" t="n">
        <v>0.800462962962963</v>
      </c>
      <c r="G22" s="2"/>
      <c r="H22" s="2"/>
    </row>
    <row collapsed="false" customFormat="false" customHeight="true" hidden="false" ht="13.7" outlineLevel="0" r="23">
      <c r="A23" s="2"/>
      <c r="B23" s="82" t="n">
        <v>123</v>
      </c>
      <c r="C23" s="82" t="s">
        <v>136</v>
      </c>
      <c r="D23" s="82" t="s">
        <v>153</v>
      </c>
      <c r="E23" s="83" t="n">
        <v>0.457071759259259</v>
      </c>
      <c r="F23" s="82"/>
      <c r="G23" s="85" t="s">
        <v>154</v>
      </c>
      <c r="H23" s="2"/>
    </row>
    <row collapsed="false" customFormat="false" customHeight="true" hidden="false" ht="13.7" outlineLevel="0" r="24">
      <c r="A24" s="2"/>
      <c r="B24" s="82" t="n">
        <v>123</v>
      </c>
      <c r="C24" s="82" t="s">
        <v>136</v>
      </c>
      <c r="D24" s="82" t="s">
        <v>155</v>
      </c>
      <c r="E24" s="83" t="n">
        <v>0.408298611111111</v>
      </c>
      <c r="F24" s="83" t="n">
        <v>0.804780092592593</v>
      </c>
      <c r="G24" s="2"/>
      <c r="H24" s="2"/>
    </row>
    <row collapsed="false" customFormat="false" customHeight="true" hidden="false" ht="13.7" outlineLevel="0" r="25">
      <c r="A25" s="2"/>
      <c r="B25" s="82" t="n">
        <v>123</v>
      </c>
      <c r="C25" s="82" t="s">
        <v>136</v>
      </c>
      <c r="D25" s="82" t="s">
        <v>156</v>
      </c>
      <c r="E25" s="83" t="n">
        <v>0.409675925925926</v>
      </c>
      <c r="F25" s="83" t="n">
        <v>0.829548611111111</v>
      </c>
      <c r="G25" s="2" t="s">
        <v>157</v>
      </c>
      <c r="H25" s="2"/>
    </row>
    <row collapsed="false" customFormat="false" customHeight="true" hidden="false" ht="13.7" outlineLevel="0" r="26">
      <c r="A26" s="2"/>
      <c r="B26" s="82" t="n">
        <v>123</v>
      </c>
      <c r="C26" s="82" t="s">
        <v>136</v>
      </c>
      <c r="D26" s="82" t="s">
        <v>158</v>
      </c>
      <c r="E26" s="82"/>
      <c r="F26" s="82"/>
      <c r="G26" s="2"/>
      <c r="H26" s="2"/>
    </row>
    <row collapsed="false" customFormat="false" customHeight="true" hidden="false" ht="13.7" outlineLevel="0" r="27">
      <c r="A27" s="2"/>
      <c r="B27" s="82" t="n">
        <v>123</v>
      </c>
      <c r="C27" s="82" t="s">
        <v>136</v>
      </c>
      <c r="D27" s="82" t="s">
        <v>159</v>
      </c>
      <c r="E27" s="82"/>
      <c r="F27" s="82"/>
      <c r="G27" s="2"/>
      <c r="H27" s="2"/>
    </row>
    <row collapsed="false" customFormat="false" customHeight="true" hidden="false" ht="13.7" outlineLevel="0" r="28">
      <c r="A28" s="2"/>
      <c r="B28" s="82" t="n">
        <v>123</v>
      </c>
      <c r="C28" s="82" t="s">
        <v>136</v>
      </c>
      <c r="D28" s="82" t="s">
        <v>160</v>
      </c>
      <c r="E28" s="83" t="n">
        <v>0.46125</v>
      </c>
      <c r="F28" s="82"/>
      <c r="G28" s="2"/>
      <c r="H28" s="2"/>
    </row>
    <row collapsed="false" customFormat="false" customHeight="true" hidden="false" ht="13.7" outlineLevel="0" r="29">
      <c r="A29" s="2"/>
      <c r="B29" s="82" t="n">
        <v>123</v>
      </c>
      <c r="C29" s="82" t="s">
        <v>136</v>
      </c>
      <c r="D29" s="82" t="s">
        <v>161</v>
      </c>
      <c r="E29" s="83" t="n">
        <v>0.419178240740741</v>
      </c>
      <c r="F29" s="82"/>
      <c r="G29" s="2"/>
      <c r="H29" s="2"/>
    </row>
    <row collapsed="false" customFormat="false" customHeight="true" hidden="false" ht="13.7" outlineLevel="0" r="30">
      <c r="A30" s="2"/>
      <c r="B30" s="82" t="n">
        <v>123</v>
      </c>
      <c r="C30" s="82" t="s">
        <v>136</v>
      </c>
      <c r="D30" s="82" t="s">
        <v>162</v>
      </c>
      <c r="E30" s="83" t="n">
        <v>0.406828703703704</v>
      </c>
      <c r="F30" s="83" t="n">
        <v>0.760648148148148</v>
      </c>
      <c r="G30" s="2"/>
      <c r="H30" s="2"/>
    </row>
    <row collapsed="false" customFormat="false" customHeight="true" hidden="false" ht="35.65" outlineLevel="0" r="31">
      <c r="A31" s="2"/>
      <c r="B31" s="82" t="n">
        <v>123</v>
      </c>
      <c r="C31" s="82" t="s">
        <v>136</v>
      </c>
      <c r="D31" s="82" t="s">
        <v>163</v>
      </c>
      <c r="E31" s="83" t="n">
        <v>0.418784722222222</v>
      </c>
      <c r="F31" s="82"/>
      <c r="G31" s="85" t="s">
        <v>154</v>
      </c>
      <c r="H31" s="2"/>
    </row>
    <row collapsed="false" customFormat="false" customHeight="true" hidden="false" ht="14.9" outlineLevel="0" r="32">
      <c r="A32" s="2"/>
      <c r="B32" s="82" t="n">
        <v>123</v>
      </c>
      <c r="C32" s="82" t="s">
        <v>136</v>
      </c>
      <c r="D32" s="82" t="s">
        <v>164</v>
      </c>
      <c r="E32" s="83" t="n">
        <v>0.395138888888889</v>
      </c>
      <c r="F32" s="83" t="n">
        <v>0.753275462962963</v>
      </c>
      <c r="G32" s="2"/>
      <c r="H32" s="2"/>
    </row>
    <row collapsed="false" customFormat="false" customHeight="true" hidden="false" ht="14.9" outlineLevel="0" r="33">
      <c r="A33" s="2"/>
      <c r="B33" s="82" t="n">
        <v>123</v>
      </c>
      <c r="C33" s="82" t="s">
        <v>136</v>
      </c>
      <c r="D33" s="82" t="s">
        <v>165</v>
      </c>
      <c r="E33" s="82"/>
      <c r="F33" s="82"/>
      <c r="G33" s="2"/>
      <c r="H33" s="2"/>
    </row>
    <row collapsed="false" customFormat="false" customHeight="true" hidden="false" ht="45" outlineLevel="0" r="34">
      <c r="A34" s="2"/>
      <c r="B34" s="82" t="n">
        <v>123</v>
      </c>
      <c r="C34" s="82" t="s">
        <v>136</v>
      </c>
      <c r="D34" s="82" t="s">
        <v>166</v>
      </c>
      <c r="E34" s="82"/>
      <c r="F34" s="82"/>
      <c r="G34" s="2"/>
      <c r="H34" s="2"/>
    </row>
    <row collapsed="false" customFormat="false" customHeight="true" hidden="false" ht="14.9" outlineLevel="0" r="35">
      <c r="A35" s="2"/>
      <c r="B35" s="82" t="n">
        <v>123</v>
      </c>
      <c r="C35" s="82" t="s">
        <v>136</v>
      </c>
      <c r="D35" s="82" t="s">
        <v>167</v>
      </c>
      <c r="E35" s="83" t="n">
        <v>0.387256944444444</v>
      </c>
      <c r="F35" s="83" t="n">
        <v>0.746493055555555</v>
      </c>
      <c r="G35" s="2"/>
      <c r="H35" s="2"/>
    </row>
    <row collapsed="false" customFormat="false" customHeight="true" hidden="false" ht="14.9" outlineLevel="0" r="36">
      <c r="A36" s="2"/>
      <c r="B36" s="86"/>
      <c r="C36" s="86"/>
      <c r="D36" s="86"/>
      <c r="E36" s="86"/>
      <c r="F36" s="86"/>
      <c r="G36" s="2"/>
      <c r="H36" s="2"/>
    </row>
    <row collapsed="false" customFormat="false" customHeight="true" hidden="false" ht="14.9" outlineLevel="0" r="37">
      <c r="A37" s="2"/>
      <c r="B37" s="86"/>
      <c r="C37" s="86"/>
      <c r="D37" s="86"/>
      <c r="E37" s="86"/>
      <c r="F37" s="86"/>
      <c r="G37" s="2"/>
      <c r="H37" s="2"/>
    </row>
    <row collapsed="false" customFormat="false" customHeight="false" hidden="false" ht="14.1" outlineLevel="0" r="38">
      <c r="B38" s="86"/>
      <c r="C38" s="86"/>
      <c r="D38" s="86"/>
      <c r="E38" s="86"/>
      <c r="F38" s="86"/>
    </row>
  </sheetData>
  <mergeCells count="2">
    <mergeCell ref="A2:G2"/>
    <mergeCell ref="H2:N2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0" zoomScaleNormal="90" zoomScalePageLayoutView="100">
      <selection activeCell="A1" activeCellId="1" pane="topLeft" sqref="B4:F35 A1"/>
    </sheetView>
  </sheetViews>
  <sheetFormatPr defaultRowHeight="12.8"/>
  <cols>
    <col collapsed="false" hidden="false" max="1025" min="1" style="0" width="8.89068825910931"/>
  </cols>
  <sheetData>
    <row collapsed="false" customFormat="false" customHeight="true" hidden="false" ht="13.3" outlineLevel="0" r="1">
      <c r="A1" s="87"/>
      <c r="B1" s="87"/>
      <c r="C1" s="87"/>
      <c r="D1" s="87"/>
      <c r="E1" s="87"/>
      <c r="F1" s="87"/>
      <c r="G1" s="87"/>
    </row>
    <row collapsed="false" customFormat="false" customHeight="true" hidden="false" ht="13.3" outlineLevel="0" r="2">
      <c r="A2" s="87"/>
      <c r="B2" s="87"/>
      <c r="C2" s="87"/>
      <c r="D2" s="87"/>
      <c r="E2" s="87"/>
      <c r="F2" s="87"/>
      <c r="G2" s="87"/>
    </row>
    <row collapsed="false" customFormat="false" customHeight="true" hidden="false" ht="13.3" outlineLevel="0" r="3">
      <c r="A3" s="88"/>
      <c r="B3" s="88"/>
      <c r="C3" s="88"/>
      <c r="D3" s="88"/>
      <c r="E3" s="88"/>
      <c r="F3" s="88"/>
      <c r="G3" s="88"/>
    </row>
    <row collapsed="false" customFormat="false" customHeight="true" hidden="false" ht="13.3" outlineLevel="0" r="4">
      <c r="A4" s="88"/>
      <c r="B4" s="88"/>
      <c r="C4" s="88"/>
      <c r="D4" s="88"/>
      <c r="E4" s="88"/>
      <c r="F4" s="88"/>
      <c r="G4" s="88"/>
    </row>
    <row collapsed="false" customFormat="false" customHeight="true" hidden="false" ht="13.3" outlineLevel="0" r="5">
      <c r="A5" s="88"/>
      <c r="B5" s="88"/>
      <c r="C5" s="88"/>
      <c r="D5" s="88"/>
      <c r="E5" s="88"/>
      <c r="F5" s="88"/>
      <c r="G5" s="88"/>
    </row>
    <row collapsed="false" customFormat="false" customHeight="true" hidden="false" ht="13.3" outlineLevel="0" r="6">
      <c r="A6" s="88"/>
      <c r="B6" s="88"/>
      <c r="C6" s="88"/>
      <c r="D6" s="88"/>
      <c r="E6" s="88"/>
      <c r="F6" s="88"/>
      <c r="G6" s="88"/>
    </row>
    <row collapsed="false" customFormat="false" customHeight="true" hidden="false" ht="13.3" outlineLevel="0" r="7">
      <c r="A7" s="88"/>
      <c r="B7" s="88"/>
      <c r="C7" s="88"/>
      <c r="D7" s="88"/>
      <c r="E7" s="88"/>
      <c r="F7" s="88"/>
      <c r="G7" s="88"/>
    </row>
  </sheetData>
  <mergeCells count="7">
    <mergeCell ref="A1:G1"/>
    <mergeCell ref="A2:G2"/>
    <mergeCell ref="A3:G3"/>
    <mergeCell ref="A4:G4"/>
    <mergeCell ref="A5:G5"/>
    <mergeCell ref="A6:G6"/>
    <mergeCell ref="A7:G7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LibreOffice/4.0.2.2$Linux_x86 LibreOffice_project/400m0$Build-2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2012-04-24T13:51:50.00Z</dcterms:created>
  <dc:creator>hazem</dc:creator>
  <cp:lastModifiedBy>hazem</cp:lastModifiedBy>
  <dcterms:modified xsi:type="dcterms:W3CDTF">2012-11-26T16:10:21.00Z</dcterms:modified>
  <cp:revision>0</cp:revision>
</cp:coreProperties>
</file>